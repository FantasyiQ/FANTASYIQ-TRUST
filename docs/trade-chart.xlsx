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eague Settings" sheetId="2" state="visible" r:id="rId2"/>
    <sheet xmlns:r="http://schemas.openxmlformats.org/officeDocument/2006/relationships" name="Base Player Values" sheetId="3" state="visible" r:id="rId3"/>
    <sheet xmlns:r="http://schemas.openxmlformats.org/officeDocument/2006/relationships" name="Dynamic Adjustments" sheetId="4" state="visible" r:id="rId4"/>
    <sheet xmlns:r="http://schemas.openxmlformats.org/officeDocument/2006/relationships" name="Dynamic Trade Chart" sheetId="5" state="visible" r:id="rId5"/>
    <sheet xmlns:r="http://schemas.openxmlformats.org/officeDocument/2006/relationships" name="Trade Calculator"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0.0"/>
  </numFmts>
  <fonts count="33">
    <font>
      <name val="Calibri"/>
      <family val="2"/>
      <color theme="1"/>
      <sz val="11"/>
      <scheme val="minor"/>
    </font>
    <font>
      <name val="Calibri"/>
      <b val="1"/>
      <color rgb="00D4A017"/>
      <sz val="28"/>
    </font>
    <font>
      <name val="Calibri"/>
      <b val="1"/>
      <color rgb="00FFFFFF"/>
      <sz val="18"/>
    </font>
    <font>
      <b val="1"/>
      <i val="1"/>
      <color rgb="00D4A017"/>
      <sz val="12"/>
    </font>
    <font>
      <b val="1"/>
      <color rgb="001A1A1A"/>
      <sz val="14"/>
    </font>
    <font>
      <sz val="11"/>
    </font>
    <font>
      <b val="1"/>
      <color rgb="00D4A017"/>
      <sz val="13"/>
    </font>
    <font>
      <b val="1"/>
      <color rgb="00FFFFFF"/>
      <sz val="11"/>
    </font>
    <font>
      <b val="1"/>
      <color rgb="00D4A017"/>
      <sz val="11"/>
    </font>
    <font>
      <b val="1"/>
      <sz val="11"/>
    </font>
    <font>
      <b val="1"/>
      <i val="1"/>
      <color rgb="00D4A017"/>
      <sz val="11"/>
    </font>
    <font>
      <b val="1"/>
      <color rgb="00D4A017"/>
      <sz val="18"/>
    </font>
    <font>
      <i val="1"/>
      <color rgb="002D2D2D"/>
      <sz val="10"/>
    </font>
    <font>
      <b val="1"/>
      <color rgb="001A1A1A"/>
      <sz val="11"/>
    </font>
    <font>
      <i val="1"/>
      <color rgb="00666666"/>
      <sz val="10"/>
    </font>
    <font>
      <sz val="10"/>
    </font>
    <font>
      <b val="1"/>
      <color rgb="00006100"/>
      <sz val="12"/>
    </font>
    <font>
      <b val="1"/>
      <color rgb="00FFFFFF"/>
      <sz val="9"/>
    </font>
    <font>
      <b val="1"/>
      <sz val="10"/>
    </font>
    <font>
      <b val="1"/>
      <color rgb="00D4A017"/>
      <sz val="10"/>
    </font>
    <font>
      <color rgb="00999999"/>
      <sz val="9"/>
    </font>
    <font>
      <b val="1"/>
      <color rgb="00FFFFFF"/>
      <sz val="14"/>
    </font>
    <font>
      <b val="1"/>
      <color rgb="00FFFFFF"/>
      <sz val="12"/>
    </font>
    <font>
      <b val="1"/>
      <color rgb="00D4A017"/>
      <sz val="14"/>
    </font>
    <font>
      <b val="1"/>
      <color rgb="00D4A017"/>
      <sz val="16"/>
    </font>
    <font>
      <b val="1"/>
      <sz val="16"/>
    </font>
    <font>
      <b val="1"/>
      <color rgb="00D4A017"/>
      <sz val="24"/>
    </font>
    <font>
      <b val="1"/>
      <i val="1"/>
      <sz val="14"/>
    </font>
    <font>
      <i val="1"/>
      <color rgb="00666666"/>
      <sz val="9"/>
    </font>
    <font>
      <b val="1"/>
      <color rgb="001A1A1A"/>
      <sz val="13"/>
    </font>
    <font>
      <b val="1"/>
    </font>
    <font>
      <b val="1"/>
      <color rgb="001A1A1A"/>
    </font>
    <font>
      <b val="1"/>
      <i val="1"/>
      <color rgb="00D4A017"/>
    </font>
  </fonts>
  <fills count="12">
    <fill>
      <patternFill/>
    </fill>
    <fill>
      <patternFill patternType="gray125"/>
    </fill>
    <fill>
      <patternFill patternType="solid">
        <fgColor rgb="001A1A1A"/>
        <bgColor rgb="001A1A1A"/>
      </patternFill>
    </fill>
    <fill>
      <patternFill patternType="solid">
        <fgColor rgb="002D2D2D"/>
        <bgColor rgb="002D2D2D"/>
      </patternFill>
    </fill>
    <fill>
      <patternFill patternType="solid">
        <fgColor rgb="00F5E6B8"/>
        <bgColor rgb="00F5E6B8"/>
      </patternFill>
    </fill>
    <fill>
      <patternFill patternType="solid">
        <fgColor rgb="00C6EFCE"/>
        <bgColor rgb="00C6EFCE"/>
      </patternFill>
    </fill>
    <fill>
      <patternFill patternType="solid">
        <fgColor rgb="00BDD7EE"/>
        <bgColor rgb="00BDD7EE"/>
      </patternFill>
    </fill>
    <fill>
      <patternFill patternType="solid">
        <fgColor rgb="00D9D9D9"/>
        <bgColor rgb="00D9D9D9"/>
      </patternFill>
    </fill>
    <fill>
      <patternFill patternType="solid">
        <fgColor rgb="00FCE4CC"/>
        <bgColor rgb="00FCE4CC"/>
      </patternFill>
    </fill>
    <fill>
      <patternFill patternType="solid">
        <fgColor rgb="00FFC7CE"/>
        <bgColor rgb="00FFC7CE"/>
      </patternFill>
    </fill>
    <fill>
      <patternFill patternType="solid">
        <fgColor rgb="00F9F7F0"/>
        <bgColor rgb="00F9F7F0"/>
      </patternFill>
    </fill>
    <fill>
      <patternFill patternType="solid">
        <fgColor rgb="00FFFFFF"/>
        <bgColor rgb="00FFFFFF"/>
      </patternFill>
    </fill>
  </fills>
  <borders count="23">
    <border>
      <left/>
      <right/>
      <top/>
      <bottom/>
      <diagonal/>
    </border>
    <border>
      <left style="medium">
        <color rgb="00D4A017"/>
      </left>
      <right/>
      <top style="medium">
        <color rgb="00D4A017"/>
      </top>
      <bottom/>
    </border>
    <border>
      <left/>
      <right/>
      <top style="medium">
        <color rgb="00D4A017"/>
      </top>
      <bottom/>
    </border>
    <border>
      <left/>
      <right style="medium">
        <color rgb="00D4A017"/>
      </right>
      <top style="medium">
        <color rgb="00D4A017"/>
      </top>
      <bottom/>
    </border>
    <border>
      <left style="medium">
        <color rgb="00D4A017"/>
      </left>
      <right/>
      <top/>
      <bottom/>
    </border>
    <border>
      <left/>
      <right/>
      <top/>
      <bottom/>
    </border>
    <border>
      <left/>
      <right style="medium">
        <color rgb="00D4A017"/>
      </right>
      <top/>
      <bottom/>
    </border>
    <border>
      <left style="medium">
        <color rgb="00D4A017"/>
      </left>
      <right/>
      <top/>
      <bottom style="medium">
        <color rgb="00D4A017"/>
      </bottom>
    </border>
    <border>
      <left/>
      <right/>
      <top/>
      <bottom style="medium">
        <color rgb="00D4A017"/>
      </bottom>
    </border>
    <border>
      <left/>
      <right style="medium">
        <color rgb="00D4A017"/>
      </right>
      <top/>
      <bottom style="medium">
        <color rgb="00D4A017"/>
      </bottom>
    </border>
    <border>
      <left style="thin">
        <color rgb="00999999"/>
      </left>
      <right style="thin">
        <color rgb="00999999"/>
      </right>
      <top style="thin">
        <color rgb="00999999"/>
      </top>
      <bottom style="thin">
        <color rgb="00999999"/>
      </bottom>
    </border>
    <border>
      <left style="medium">
        <color rgb="00D4A017"/>
      </left>
      <right style="medium">
        <color rgb="00D4A017"/>
      </right>
      <top style="medium">
        <color rgb="00D4A017"/>
      </top>
      <bottom/>
    </border>
    <border>
      <left/>
      <right/>
      <top style="medium">
        <color rgb="00D4A017"/>
      </top>
      <bottom/>
      <diagonal/>
    </border>
    <border>
      <left/>
      <right style="medium">
        <color rgb="00D4A017"/>
      </right>
      <top style="medium">
        <color rgb="00D4A017"/>
      </top>
      <bottom/>
      <diagonal/>
    </border>
    <border>
      <left style="medium">
        <color rgb="00D4A017"/>
      </left>
      <right style="medium">
        <color rgb="00D4A017"/>
      </right>
      <top/>
      <bottom style="medium">
        <color rgb="00D4A017"/>
      </bottom>
    </border>
    <border>
      <left/>
      <right style="medium">
        <color rgb="00D4A017"/>
      </right>
      <top/>
      <bottom/>
      <diagonal/>
    </border>
    <border>
      <left/>
      <right/>
      <top/>
      <bottom style="medium">
        <color rgb="00D4A017"/>
      </bottom>
      <diagonal/>
    </border>
    <border>
      <left/>
      <right style="medium">
        <color rgb="00D4A017"/>
      </right>
      <top/>
      <bottom style="medium">
        <color rgb="00D4A017"/>
      </bottom>
      <diagonal/>
    </border>
    <border>
      <left style="medium">
        <color rgb="00D4A017"/>
      </left>
      <right style="medium">
        <color rgb="00D4A017"/>
      </right>
      <top/>
      <bottom/>
    </border>
    <border>
      <left style="medium">
        <color rgb="00D4A017"/>
      </left>
      <right/>
      <top style="medium">
        <color rgb="00D4A017"/>
      </top>
      <bottom style="medium">
        <color rgb="00D4A017"/>
      </bottom>
    </border>
    <border>
      <left/>
      <right/>
      <top style="medium">
        <color rgb="00D4A017"/>
      </top>
      <bottom style="medium">
        <color rgb="00D4A017"/>
      </bottom>
    </border>
    <border>
      <left/>
      <right style="medium">
        <color rgb="00D4A017"/>
      </right>
      <top style="medium">
        <color rgb="00D4A017"/>
      </top>
      <bottom style="medium">
        <color rgb="00D4A017"/>
      </bottom>
    </border>
    <border>
      <left style="thin">
        <color rgb="00CCCCCC"/>
      </left>
      <right style="thin">
        <color rgb="00CCCCCC"/>
      </right>
      <top style="thin">
        <color rgb="00CCCCCC"/>
      </top>
      <bottom style="thin">
        <color rgb="00CCCCCC"/>
      </bottom>
    </border>
  </borders>
  <cellStyleXfs count="1">
    <xf numFmtId="0" fontId="0" fillId="0" borderId="0"/>
  </cellStyleXfs>
  <cellXfs count="100">
    <xf numFmtId="0" fontId="0" fillId="0" borderId="0" pivotButton="0" quotePrefix="0" xfId="0"/>
    <xf numFmtId="0" fontId="1" fillId="2" borderId="1" applyAlignment="1" pivotButton="0" quotePrefix="0" xfId="0">
      <alignment horizontal="center"/>
    </xf>
    <xf numFmtId="0" fontId="0" fillId="0" borderId="2" pivotButton="0" quotePrefix="0" xfId="0"/>
    <xf numFmtId="0" fontId="0" fillId="0" borderId="3" pivotButton="0" quotePrefix="0" xfId="0"/>
    <xf numFmtId="0" fontId="2" fillId="3" borderId="4" applyAlignment="1" pivotButton="0" quotePrefix="0" xfId="0">
      <alignment horizontal="center"/>
    </xf>
    <xf numFmtId="0" fontId="0" fillId="0" borderId="5" pivotButton="0" quotePrefix="0" xfId="0"/>
    <xf numFmtId="0" fontId="0" fillId="0" borderId="6" pivotButton="0" quotePrefix="0" xfId="0"/>
    <xf numFmtId="0" fontId="3" fillId="2" borderId="7" applyAlignment="1" pivotButton="0" quotePrefix="0" xfId="0">
      <alignment horizontal="center"/>
    </xf>
    <xf numFmtId="0" fontId="0" fillId="0" borderId="8" pivotButton="0" quotePrefix="0" xfId="0"/>
    <xf numFmtId="0" fontId="0" fillId="0" borderId="9" pivotButton="0" quotePrefix="0" xfId="0"/>
    <xf numFmtId="0" fontId="4" fillId="0" borderId="0" applyAlignment="1" pivotButton="0" quotePrefix="0" xfId="0">
      <alignment horizontal="left"/>
    </xf>
    <xf numFmtId="0" fontId="5" fillId="0" borderId="0" applyAlignment="1" pivotButton="0" quotePrefix="0" xfId="0">
      <alignment wrapText="1"/>
    </xf>
    <xf numFmtId="0" fontId="6" fillId="2" borderId="0" pivotButton="0" quotePrefix="0" xfId="0"/>
    <xf numFmtId="0" fontId="7" fillId="2" borderId="0" pivotButton="0" quotePrefix="0" xfId="0"/>
    <xf numFmtId="0" fontId="8" fillId="0" borderId="0" pivotButton="0" quotePrefix="0" xfId="0"/>
    <xf numFmtId="0" fontId="9" fillId="0" borderId="0" applyAlignment="1" pivotButton="0" quotePrefix="0" xfId="0">
      <alignment horizontal="center"/>
    </xf>
    <xf numFmtId="0" fontId="5" fillId="0" borderId="0" pivotButton="0" quotePrefix="0" xfId="0"/>
    <xf numFmtId="0" fontId="9" fillId="4" borderId="0" applyAlignment="1" pivotButton="0" quotePrefix="0" xfId="0">
      <alignment horizontal="center"/>
    </xf>
    <xf numFmtId="0" fontId="5" fillId="4" borderId="0" pivotButton="0" quotePrefix="0" xfId="0"/>
    <xf numFmtId="0" fontId="9" fillId="5" borderId="0" applyAlignment="1" pivotButton="0" quotePrefix="0" xfId="0">
      <alignment horizontal="center"/>
    </xf>
    <xf numFmtId="0" fontId="5" fillId="5" borderId="0" pivotButton="0" quotePrefix="0" xfId="0"/>
    <xf numFmtId="0" fontId="9" fillId="6" borderId="0" applyAlignment="1" pivotButton="0" quotePrefix="0" xfId="0">
      <alignment horizontal="center"/>
    </xf>
    <xf numFmtId="0" fontId="5" fillId="6" borderId="0" pivotButton="0" quotePrefix="0" xfId="0"/>
    <xf numFmtId="0" fontId="9" fillId="7" borderId="0" applyAlignment="1" pivotButton="0" quotePrefix="0" xfId="0">
      <alignment horizontal="center"/>
    </xf>
    <xf numFmtId="0" fontId="5" fillId="7" borderId="0" pivotButton="0" quotePrefix="0" xfId="0"/>
    <xf numFmtId="0" fontId="9" fillId="8" borderId="0" applyAlignment="1" pivotButton="0" quotePrefix="0" xfId="0">
      <alignment horizontal="center"/>
    </xf>
    <xf numFmtId="0" fontId="5" fillId="8" borderId="0" pivotButton="0" quotePrefix="0" xfId="0"/>
    <xf numFmtId="0" fontId="9" fillId="9" borderId="0" applyAlignment="1" pivotButton="0" quotePrefix="0" xfId="0">
      <alignment horizontal="center"/>
    </xf>
    <xf numFmtId="0" fontId="5" fillId="9" borderId="0" pivotButton="0" quotePrefix="0" xfId="0"/>
    <xf numFmtId="0" fontId="10" fillId="2" borderId="0" applyAlignment="1" pivotButton="0" quotePrefix="0" xfId="0">
      <alignment horizontal="center"/>
    </xf>
    <xf numFmtId="0" fontId="11" fillId="2" borderId="0" applyAlignment="1" pivotButton="0" quotePrefix="0" xfId="0">
      <alignment horizontal="center"/>
    </xf>
    <xf numFmtId="0" fontId="12" fillId="0" borderId="0" applyAlignment="1" pivotButton="0" quotePrefix="0" xfId="0">
      <alignment horizontal="center" wrapText="1"/>
    </xf>
    <xf numFmtId="0" fontId="7" fillId="2" borderId="10" applyAlignment="1" pivotButton="0" quotePrefix="0" xfId="0">
      <alignment horizontal="center"/>
    </xf>
    <xf numFmtId="0" fontId="7" fillId="2" borderId="0" applyAlignment="1" pivotButton="0" quotePrefix="0" xfId="0">
      <alignment horizontal="center"/>
    </xf>
    <xf numFmtId="0" fontId="13" fillId="4" borderId="10" pivotButton="0" quotePrefix="0" xfId="0"/>
    <xf numFmtId="0" fontId="5" fillId="10" borderId="10" applyAlignment="1" pivotButton="0" quotePrefix="0" xfId="0">
      <alignment horizontal="center"/>
    </xf>
    <xf numFmtId="0" fontId="14" fillId="0" borderId="0" pivotButton="0" quotePrefix="0" xfId="0"/>
    <xf numFmtId="0" fontId="1" fillId="2" borderId="11" applyAlignment="1" pivotButton="0" quotePrefix="0" xfId="0">
      <alignment horizontal="center"/>
    </xf>
    <xf numFmtId="0" fontId="0" fillId="0" borderId="12" pivotButton="0" quotePrefix="0" xfId="0"/>
    <xf numFmtId="0" fontId="0" fillId="0" borderId="13" pivotButton="0" quotePrefix="0" xfId="0"/>
    <xf numFmtId="0" fontId="2" fillId="3" borderId="18" applyAlignment="1" pivotButton="0" quotePrefix="0" xfId="0">
      <alignment horizontal="center"/>
    </xf>
    <xf numFmtId="0" fontId="0" fillId="0" borderId="15" pivotButton="0" quotePrefix="0" xfId="0"/>
    <xf numFmtId="0" fontId="3" fillId="2" borderId="14" applyAlignment="1" pivotButton="0" quotePrefix="0" xfId="0">
      <alignment horizontal="center"/>
    </xf>
    <xf numFmtId="0" fontId="0" fillId="0" borderId="16" pivotButton="0" quotePrefix="0" xfId="0"/>
    <xf numFmtId="0" fontId="0" fillId="0" borderId="17" pivotButton="0" quotePrefix="0" xfId="0"/>
    <xf numFmtId="0" fontId="12" fillId="0" borderId="0" applyAlignment="1" pivotButton="0" quotePrefix="0" xfId="0">
      <alignment horizontal="center"/>
    </xf>
    <xf numFmtId="0" fontId="7" fillId="2" borderId="19" applyAlignment="1" pivotButton="0" quotePrefix="0" xfId="0">
      <alignment horizontal="center"/>
    </xf>
    <xf numFmtId="0" fontId="7" fillId="2" borderId="20" applyAlignment="1" pivotButton="0" quotePrefix="0" xfId="0">
      <alignment horizontal="center"/>
    </xf>
    <xf numFmtId="0" fontId="7" fillId="2" borderId="21" applyAlignment="1" pivotButton="0" quotePrefix="0" xfId="0">
      <alignment horizontal="center"/>
    </xf>
    <xf numFmtId="0" fontId="5" fillId="10" borderId="22" applyAlignment="1" pivotButton="0" quotePrefix="0" xfId="0">
      <alignment horizontal="center"/>
    </xf>
    <xf numFmtId="0" fontId="9" fillId="10" borderId="22" pivotButton="0" quotePrefix="0" xfId="0"/>
    <xf numFmtId="1" fontId="9" fillId="10" borderId="22" applyAlignment="1" pivotButton="0" quotePrefix="0" xfId="0">
      <alignment horizontal="center"/>
    </xf>
    <xf numFmtId="0" fontId="5" fillId="11" borderId="22" applyAlignment="1" pivotButton="0" quotePrefix="0" xfId="0">
      <alignment horizontal="center"/>
    </xf>
    <xf numFmtId="0" fontId="9" fillId="11" borderId="22" pivotButton="0" quotePrefix="0" xfId="0"/>
    <xf numFmtId="1" fontId="9" fillId="11" borderId="22" applyAlignment="1" pivotButton="0" quotePrefix="0" xfId="0">
      <alignment horizontal="center"/>
    </xf>
    <xf numFmtId="2" fontId="5" fillId="10" borderId="10" applyAlignment="1" pivotButton="0" quotePrefix="0" xfId="0">
      <alignment horizontal="center"/>
    </xf>
    <xf numFmtId="0" fontId="15" fillId="11" borderId="10" applyAlignment="1" pivotButton="0" quotePrefix="0" xfId="0">
      <alignment wrapText="1"/>
    </xf>
    <xf numFmtId="0" fontId="7" fillId="3" borderId="0" pivotButton="0" quotePrefix="0" xfId="0"/>
    <xf numFmtId="2" fontId="7" fillId="3" borderId="0" applyAlignment="1" pivotButton="0" quotePrefix="0" xfId="0">
      <alignment horizontal="center"/>
    </xf>
    <xf numFmtId="0" fontId="13" fillId="0" borderId="0" pivotButton="0" quotePrefix="0" xfId="0"/>
    <xf numFmtId="0" fontId="16" fillId="0" borderId="0" pivotButton="0" quotePrefix="0" xfId="0"/>
    <xf numFmtId="0" fontId="6" fillId="2" borderId="0" applyAlignment="1" pivotButton="0" quotePrefix="0" xfId="0">
      <alignment horizontal="center"/>
    </xf>
    <xf numFmtId="0" fontId="7" fillId="3" borderId="10" applyAlignment="1" pivotButton="0" quotePrefix="0" xfId="0">
      <alignment horizontal="center"/>
    </xf>
    <xf numFmtId="0" fontId="9" fillId="4" borderId="10" applyAlignment="1" pivotButton="0" quotePrefix="0" xfId="0">
      <alignment horizontal="center"/>
    </xf>
    <xf numFmtId="0" fontId="17" fillId="2" borderId="19" applyAlignment="1" pivotButton="0" quotePrefix="0" xfId="0">
      <alignment horizontal="center" wrapText="1"/>
    </xf>
    <xf numFmtId="0" fontId="17" fillId="2" borderId="20" applyAlignment="1" pivotButton="0" quotePrefix="0" xfId="0">
      <alignment horizontal="center" wrapText="1"/>
    </xf>
    <xf numFmtId="0" fontId="17" fillId="2" borderId="21" applyAlignment="1" pivotButton="0" quotePrefix="0" xfId="0">
      <alignment horizontal="center" wrapText="1"/>
    </xf>
    <xf numFmtId="0" fontId="15" fillId="0" borderId="22" applyAlignment="1" pivotButton="0" quotePrefix="0" xfId="0">
      <alignment horizontal="center"/>
    </xf>
    <xf numFmtId="0" fontId="18" fillId="0" borderId="22" pivotButton="0" quotePrefix="0" xfId="0"/>
    <xf numFmtId="1" fontId="15" fillId="0" borderId="22" applyAlignment="1" pivotButton="0" quotePrefix="0" xfId="0">
      <alignment horizontal="center"/>
    </xf>
    <xf numFmtId="2" fontId="15" fillId="0" borderId="22" applyAlignment="1" pivotButton="0" quotePrefix="0" xfId="0">
      <alignment horizontal="center"/>
    </xf>
    <xf numFmtId="2" fontId="15" fillId="10" borderId="22" applyAlignment="1" pivotButton="0" quotePrefix="0" xfId="0">
      <alignment horizontal="center"/>
    </xf>
    <xf numFmtId="164" fontId="18" fillId="0" borderId="22" applyAlignment="1" pivotButton="0" quotePrefix="0" xfId="0">
      <alignment horizontal="center"/>
    </xf>
    <xf numFmtId="164" fontId="15" fillId="0" borderId="22" applyAlignment="1" pivotButton="0" quotePrefix="0" xfId="0">
      <alignment horizontal="center"/>
    </xf>
    <xf numFmtId="164" fontId="19" fillId="0" borderId="22" applyAlignment="1" pivotButton="0" quotePrefix="0" xfId="0">
      <alignment horizontal="center"/>
    </xf>
    <xf numFmtId="0" fontId="18" fillId="0" borderId="22" applyAlignment="1" pivotButton="0" quotePrefix="0" xfId="0">
      <alignment horizontal="center"/>
    </xf>
    <xf numFmtId="164" fontId="20" fillId="0" borderId="22" applyAlignment="1" pivotButton="0" quotePrefix="0" xfId="0">
      <alignment horizontal="center"/>
    </xf>
    <xf numFmtId="0" fontId="21" fillId="2" borderId="0" applyAlignment="1" pivotButton="0" quotePrefix="0" xfId="0">
      <alignment horizontal="center"/>
    </xf>
    <xf numFmtId="0" fontId="19" fillId="3" borderId="10" applyAlignment="1" pivotButton="0" quotePrefix="0" xfId="0">
      <alignment horizontal="center"/>
    </xf>
    <xf numFmtId="0" fontId="5" fillId="4" borderId="10" applyAlignment="1" pivotButton="0" quotePrefix="0" xfId="0">
      <alignment horizontal="center"/>
    </xf>
    <xf numFmtId="0" fontId="5" fillId="10" borderId="10" pivotButton="0" quotePrefix="0" xfId="0"/>
    <xf numFmtId="0" fontId="5" fillId="0" borderId="10" applyAlignment="1" pivotButton="0" quotePrefix="0" xfId="0">
      <alignment horizontal="center"/>
    </xf>
    <xf numFmtId="164" fontId="9" fillId="0" borderId="10" applyAlignment="1" pivotButton="0" quotePrefix="0" xfId="0">
      <alignment horizontal="center"/>
    </xf>
    <xf numFmtId="0" fontId="22" fillId="2" borderId="0" applyAlignment="1" pivotButton="0" quotePrefix="0" xfId="0">
      <alignment horizontal="center"/>
    </xf>
    <xf numFmtId="164" fontId="23" fillId="0" borderId="0" applyAlignment="1" pivotButton="0" quotePrefix="0" xfId="0">
      <alignment horizontal="center"/>
    </xf>
    <xf numFmtId="0" fontId="24" fillId="2" borderId="0" applyAlignment="1" pivotButton="0" quotePrefix="0" xfId="0">
      <alignment horizontal="center"/>
    </xf>
    <xf numFmtId="0" fontId="22" fillId="3" borderId="0" applyAlignment="1" pivotButton="0" quotePrefix="0" xfId="0">
      <alignment horizontal="center"/>
    </xf>
    <xf numFmtId="165" fontId="25" fillId="0" borderId="0" applyAlignment="1" pivotButton="0" quotePrefix="0" xfId="0">
      <alignment horizontal="center"/>
    </xf>
    <xf numFmtId="0" fontId="26" fillId="0" borderId="0" applyAlignment="1" pivotButton="0" quotePrefix="0" xfId="0">
      <alignment horizontal="center"/>
    </xf>
    <xf numFmtId="0" fontId="27" fillId="0" borderId="0" applyAlignment="1" pivotButton="0" quotePrefix="0" xfId="0">
      <alignment horizontal="center"/>
    </xf>
    <xf numFmtId="0" fontId="28" fillId="4" borderId="0" applyAlignment="1" pivotButton="0" quotePrefix="0" xfId="0">
      <alignment horizontal="center"/>
    </xf>
    <xf numFmtId="0" fontId="26" fillId="10" borderId="0" applyAlignment="1" pivotButton="0" quotePrefix="0" xfId="0">
      <alignment horizontal="center"/>
    </xf>
    <xf numFmtId="0" fontId="0" fillId="10" borderId="0" pivotButton="0" quotePrefix="0" xfId="0"/>
    <xf numFmtId="1" fontId="26" fillId="10" borderId="0" applyAlignment="1" pivotButton="0" quotePrefix="0" xfId="0">
      <alignment horizontal="center"/>
    </xf>
    <xf numFmtId="2" fontId="0" fillId="0" borderId="0" pivotButton="0" quotePrefix="0" xfId="0"/>
    <xf numFmtId="0" fontId="29" fillId="4" borderId="0" applyAlignment="1" pivotButton="0" quotePrefix="0" xfId="0">
      <alignment horizontal="left"/>
    </xf>
    <xf numFmtId="0" fontId="31" fillId="4" borderId="0" pivotButton="0" quotePrefix="0" xfId="0"/>
    <xf numFmtId="0" fontId="30" fillId="0" borderId="0" applyAlignment="1" pivotButton="0" quotePrefix="0" xfId="0">
      <alignment wrapText="1"/>
    </xf>
    <xf numFmtId="0" fontId="0" fillId="0" borderId="0" applyAlignment="1" pivotButton="0" quotePrefix="0" xfId="0">
      <alignment wrapText="1"/>
    </xf>
    <xf numFmtId="0" fontId="3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20" customWidth="1" min="1" max="1"/>
    <col width="20" customWidth="1" min="2" max="2"/>
    <col width="14" customWidth="1" min="3" max="3"/>
    <col width="14" customWidth="1" min="4" max="4"/>
    <col width="14" customWidth="1" min="5" max="5"/>
    <col width="14" customWidth="1" min="6" max="6"/>
    <col width="14" customWidth="1" min="7" max="7"/>
    <col width="14" customWidth="1" min="8" max="8"/>
  </cols>
  <sheetData>
    <row r="1" ht="50" customHeight="1">
      <c r="A1" s="37" t="inlineStr">
        <is>
          <t>FantasyIQ Trust</t>
        </is>
      </c>
      <c r="B1" s="38" t="n"/>
      <c r="C1" s="38" t="n"/>
      <c r="D1" s="38" t="n"/>
      <c r="E1" s="38" t="n"/>
      <c r="F1" s="38" t="n"/>
      <c r="G1" s="38" t="n"/>
      <c r="H1" s="39" t="n"/>
    </row>
    <row r="2" ht="35" customHeight="1">
      <c r="A2" s="40" t="inlineStr">
        <is>
          <t>Dynamic Trade Value Chart Engine</t>
        </is>
      </c>
      <c r="H2" s="41" t="n"/>
    </row>
    <row r="3" ht="28" customHeight="1">
      <c r="A3" s="42" t="inlineStr">
        <is>
          <t>Commissioner-Grade Fantasy Football Trade Evaluation Tool</t>
        </is>
      </c>
      <c r="B3" s="43" t="n"/>
      <c r="C3" s="43" t="n"/>
      <c r="D3" s="43" t="n"/>
      <c r="E3" s="43" t="n"/>
      <c r="F3" s="43" t="n"/>
      <c r="G3" s="43" t="n"/>
      <c r="H3" s="44" t="n"/>
    </row>
    <row r="4"/>
    <row r="5">
      <c r="A5" s="10" t="inlineStr">
        <is>
          <t>Welcome to FantasyIQ Trust!</t>
        </is>
      </c>
    </row>
    <row r="6">
      <c r="A6" s="11" t="inlineStr">
        <is>
          <t>This proprietary valuation engine helps commissioners and league managers evaluate fantasy football trades using a dynamic,</t>
        </is>
      </c>
    </row>
    <row r="7">
      <c r="A7" s="11" t="inlineStr">
        <is>
          <t>multi-factor scoring model. Configure your league, review player values, adjust weighted factors, and evaluate trades with precision.</t>
        </is>
      </c>
    </row>
    <row r="8"/>
    <row r="9">
      <c r="A9" s="12" t="inlineStr">
        <is>
          <t>TAB OVERVIEW</t>
        </is>
      </c>
    </row>
    <row r="10"/>
    <row r="11">
      <c r="A11" s="13" t="inlineStr">
        <is>
          <t>Tab</t>
        </is>
      </c>
      <c r="B11" s="13" t="inlineStr">
        <is>
          <t>Description</t>
        </is>
      </c>
    </row>
    <row r="12">
      <c r="A12" s="14" t="inlineStr">
        <is>
          <t>League Settings</t>
        </is>
      </c>
      <c r="B12" s="11" t="inlineStr">
        <is>
          <t>The input hub where commissioners configure their league format, roster settings, scoring, and trade deadline.</t>
        </is>
      </c>
    </row>
    <row r="13">
      <c r="A13" s="14" t="inlineStr">
        <is>
          <t>Base Player Values</t>
        </is>
      </c>
      <c r="B13" s="11" t="inlineStr">
        <is>
          <t>60 pre-loaded NFL players with raw base values on a 0–100 scale across QB, RB, WR, TE, K, and DEF.</t>
        </is>
      </c>
    </row>
    <row r="14">
      <c r="A14" s="14" t="inlineStr">
        <is>
          <t>Dynamic Adjustments</t>
        </is>
      </c>
      <c r="B14" s="11" t="inlineStr">
        <is>
          <t>6 weighted adjustment factors (summing to 1.0) that modify base values: Position Scarcity, Age Curve, Recent Performance, Schedule Strength, Injury Risk, and Team Situation.</t>
        </is>
      </c>
    </row>
    <row r="15">
      <c r="A15" s="14" t="inlineStr">
        <is>
          <t>Dynamic Trade Chart</t>
        </is>
      </c>
      <c r="B15" s="11" t="inlineStr">
        <is>
          <t>The core DTV formula engine that computes Final Adjusted Dynamic Trade Values for all 60 players using the weighted factor model.</t>
        </is>
      </c>
    </row>
    <row r="16">
      <c r="A16" s="14" t="inlineStr">
        <is>
          <t>Trade Calculator</t>
        </is>
      </c>
      <c r="B16" s="11" t="inlineStr">
        <is>
          <t>Evaluate trades up to 5 vs 5 players with automatic 0-100 Trade Scores and verdicts.</t>
        </is>
      </c>
    </row>
    <row r="17"/>
    <row r="18">
      <c r="A18" s="12" t="inlineStr">
        <is>
          <t>TRADE SCORING SYSTEM (0–100)</t>
        </is>
      </c>
    </row>
    <row r="19">
      <c r="A19" s="13" t="inlineStr">
        <is>
          <t>Score Range</t>
        </is>
      </c>
      <c r="B19" s="13" t="inlineStr">
        <is>
          <t>Verdict</t>
        </is>
      </c>
      <c r="C19" s="13" t="inlineStr">
        <is>
          <t>Meaning</t>
        </is>
      </c>
    </row>
    <row r="20">
      <c r="A20" s="15" t="inlineStr">
        <is>
          <t>90 – 100</t>
        </is>
      </c>
      <c r="B20" s="16" t="inlineStr">
        <is>
          <t>Slam Dunk</t>
        </is>
      </c>
      <c r="C20" s="16" t="inlineStr">
        <is>
          <t>Massive win for Team A</t>
        </is>
      </c>
    </row>
    <row r="21">
      <c r="A21" s="15" t="inlineStr">
        <is>
          <t>75 – 89</t>
        </is>
      </c>
      <c r="B21" s="16" t="inlineStr">
        <is>
          <t>Strong Win</t>
        </is>
      </c>
      <c r="C21" s="16" t="inlineStr">
        <is>
          <t>Clear win for Team A</t>
        </is>
      </c>
    </row>
    <row r="22">
      <c r="A22" s="15" t="inlineStr">
        <is>
          <t>60 – 74</t>
        </is>
      </c>
      <c r="B22" s="16" t="inlineStr">
        <is>
          <t>Slight Edge</t>
        </is>
      </c>
      <c r="C22" s="16" t="inlineStr">
        <is>
          <t>Slight edge to Team A</t>
        </is>
      </c>
    </row>
    <row r="23">
      <c r="A23" s="15" t="inlineStr">
        <is>
          <t>45 – 59</t>
        </is>
      </c>
      <c r="B23" s="16" t="inlineStr">
        <is>
          <t>Fair Trade</t>
        </is>
      </c>
      <c r="C23" s="16" t="inlineStr">
        <is>
          <t>Fair / Even trade</t>
        </is>
      </c>
    </row>
    <row r="24">
      <c r="A24" s="15" t="inlineStr">
        <is>
          <t>30 – 44</t>
        </is>
      </c>
      <c r="B24" s="16" t="inlineStr">
        <is>
          <t>Slight Loss</t>
        </is>
      </c>
      <c r="C24" s="16" t="inlineStr">
        <is>
          <t>Slight edge to Team B</t>
        </is>
      </c>
    </row>
    <row r="25">
      <c r="A25" s="15" t="inlineStr">
        <is>
          <t>15 – 29</t>
        </is>
      </c>
      <c r="B25" s="16" t="inlineStr">
        <is>
          <t>Bad Deal</t>
        </is>
      </c>
      <c r="C25" s="16" t="inlineStr">
        <is>
          <t>Clear win for Team B</t>
        </is>
      </c>
    </row>
    <row r="26">
      <c r="A26" s="15" t="inlineStr">
        <is>
          <t>0 – 14</t>
        </is>
      </c>
      <c r="B26" s="16" t="inlineStr">
        <is>
          <t>Robbery</t>
        </is>
      </c>
      <c r="C26" s="16" t="inlineStr">
        <is>
          <t>Massive win for Team B</t>
        </is>
      </c>
    </row>
    <row r="27"/>
    <row r="28">
      <c r="A28" s="12" t="inlineStr">
        <is>
          <t>DTV TIER LABELS</t>
        </is>
      </c>
    </row>
    <row r="29">
      <c r="A29" s="13" t="inlineStr">
        <is>
          <t>Tier</t>
        </is>
      </c>
      <c r="B29" s="13" t="inlineStr">
        <is>
          <t>DTV Range</t>
        </is>
      </c>
      <c r="C29" s="13" t="inlineStr">
        <is>
          <t>Color</t>
        </is>
      </c>
    </row>
    <row r="30">
      <c r="A30" s="17" t="inlineStr">
        <is>
          <t>Elite</t>
        </is>
      </c>
      <c r="B30" s="18" t="inlineStr">
        <is>
          <t>≥ 85</t>
        </is>
      </c>
      <c r="C30" s="18" t="inlineStr">
        <is>
          <t>Gold</t>
        </is>
      </c>
    </row>
    <row r="31">
      <c r="A31" s="19" t="inlineStr">
        <is>
          <t>Star</t>
        </is>
      </c>
      <c r="B31" s="20" t="inlineStr">
        <is>
          <t>70 – 84</t>
        </is>
      </c>
      <c r="C31" s="20" t="inlineStr">
        <is>
          <t>Green</t>
        </is>
      </c>
    </row>
    <row r="32">
      <c r="A32" s="21" t="inlineStr">
        <is>
          <t>Starter</t>
        </is>
      </c>
      <c r="B32" s="22" t="inlineStr">
        <is>
          <t>55 – 69</t>
        </is>
      </c>
      <c r="C32" s="22" t="inlineStr">
        <is>
          <t>Blue</t>
        </is>
      </c>
    </row>
    <row r="33">
      <c r="A33" s="23" t="inlineStr">
        <is>
          <t>Flex</t>
        </is>
      </c>
      <c r="B33" s="24" t="inlineStr">
        <is>
          <t>40 – 54</t>
        </is>
      </c>
      <c r="C33" s="24" t="inlineStr">
        <is>
          <t>Gray</t>
        </is>
      </c>
    </row>
    <row r="34">
      <c r="A34" s="25" t="inlineStr">
        <is>
          <t>Bench</t>
        </is>
      </c>
      <c r="B34" s="26" t="inlineStr">
        <is>
          <t>25 – 39</t>
        </is>
      </c>
      <c r="C34" s="26" t="inlineStr">
        <is>
          <t>Orange</t>
        </is>
      </c>
    </row>
    <row r="35">
      <c r="A35" s="27" t="inlineStr">
        <is>
          <t>Waiver</t>
        </is>
      </c>
      <c r="B35" s="28" t="inlineStr">
        <is>
          <t>&lt; 25</t>
        </is>
      </c>
      <c r="C35" s="28" t="inlineStr">
        <is>
          <t>Red</t>
        </is>
      </c>
    </row>
    <row r="36"/>
    <row r="37">
      <c r="A37" s="95" t="inlineStr">
        <is>
          <t>LEAGUE TYPE TOGGLE (NEW)</t>
        </is>
      </c>
    </row>
    <row r="38">
      <c r="A38" s="29" t="inlineStr"/>
      <c r="B38" s="96" t="inlineStr">
        <is>
          <t>Feature</t>
        </is>
      </c>
      <c r="C38" s="97" t="inlineStr">
        <is>
          <t>Description</t>
        </is>
      </c>
    </row>
    <row r="39">
      <c r="B39" s="96" t="inlineStr">
        <is>
          <t>League Type Setting</t>
        </is>
      </c>
      <c r="C39" s="98" t="inlineStr">
        <is>
          <t>Located in League Settings tab (B19). Dropdown with two options: "Redraft" or "Dynasty". Default is Redraft.</t>
        </is>
      </c>
    </row>
    <row r="40">
      <c r="B40" s="96" t="inlineStr">
        <is>
          <t>Redraft Mode</t>
        </is>
      </c>
      <c r="C40" s="98" t="inlineStr">
        <is>
          <t>All players receive an Active Age Curve of 1.0 — age has no impact on trade values. Best for single-season leagues.</t>
        </is>
      </c>
    </row>
    <row r="41">
      <c r="B41" s="96" t="inlineStr">
        <is>
          <t>Dynasty Mode</t>
        </is>
      </c>
      <c r="C41" s="98" t="inlineStr">
        <is>
          <t>Players use the full age curve multiplier: ≤24 = 1.15, 25–27 = 1.05, 28–30 = 0.95, ≥31 = 0.85. Young players gain value; older players lose value.</t>
        </is>
      </c>
    </row>
    <row r="42">
      <c r="B42" s="96" t="inlineStr">
        <is>
          <t>How It Works</t>
        </is>
      </c>
      <c r="C42" s="98" t="inlineStr">
        <is>
          <t>The "Active Age Curve" column (Q) in the Dynamic Trade Chart reads the League Type setting and applies the appropriate multiplier. The Raw DTV formula uses Active Age Curve instead of the raw Age Multiplier.</t>
        </is>
      </c>
    </row>
    <row r="43"/>
    <row r="44">
      <c r="A44" s="95" t="inlineStr">
        <is>
          <t>RECENT PERFORMANCE FACTOR (PHASE 2 PLACEHOLDER)</t>
        </is>
      </c>
    </row>
    <row r="45">
      <c r="B45" s="96" t="inlineStr">
        <is>
          <t>Feature</t>
        </is>
      </c>
      <c r="C45" s="97" t="inlineStr">
        <is>
          <t>Description</t>
        </is>
      </c>
    </row>
    <row r="46">
      <c r="B46" s="96" t="inlineStr">
        <is>
          <t>Recent Perf Factor</t>
        </is>
      </c>
      <c r="C46" s="98" t="inlineStr">
        <is>
          <t>Column R in the Dynamic Trade Chart. Currently set to 1.0 for all players (no effect). Placeholder for Phase 2 live stats integration.</t>
        </is>
      </c>
    </row>
    <row r="47">
      <c r="B47" s="96" t="inlineStr">
        <is>
          <t>Phase 2 Plan</t>
        </is>
      </c>
      <c r="C47" s="98" t="inlineStr">
        <is>
          <t>Will be powered by a live stats API to automatically adjust trade values based on recent player performance trends (last 4 weeks).</t>
        </is>
      </c>
    </row>
    <row r="48">
      <c r="B48" s="96" t="inlineStr">
        <is>
          <t>Impact on DTV</t>
        </is>
      </c>
      <c r="C48" s="98" t="inlineStr">
        <is>
          <t>Final Adjusted DTV is now calculated as (Raw DTV + PPR Boost) × Recent Performance Factor. At 1.0, this has no effect until Phase 2 is activated.</t>
        </is>
      </c>
    </row>
    <row r="49"/>
    <row r="50">
      <c r="A50" s="99" t="inlineStr">
        <is>
          <t>Powered by FantasyIQ Trust — fantasyiq-trust.vercel.app</t>
        </is>
      </c>
    </row>
  </sheetData>
  <mergeCells count="44">
    <mergeCell ref="A9:H9"/>
    <mergeCell ref="C25:H25"/>
    <mergeCell ref="C41:H41"/>
    <mergeCell ref="C47:H47"/>
    <mergeCell ref="C22:H22"/>
    <mergeCell ref="C40:H40"/>
    <mergeCell ref="C31:H31"/>
    <mergeCell ref="B15:H15"/>
    <mergeCell ref="A1:H1"/>
    <mergeCell ref="C21:H21"/>
    <mergeCell ref="A6:H6"/>
    <mergeCell ref="C46:H46"/>
    <mergeCell ref="A7:H7"/>
    <mergeCell ref="C23:H23"/>
    <mergeCell ref="C39:H39"/>
    <mergeCell ref="B16:H16"/>
    <mergeCell ref="C48:H48"/>
    <mergeCell ref="A37:H37"/>
    <mergeCell ref="A18:H18"/>
    <mergeCell ref="A50:H50"/>
    <mergeCell ref="C32:H32"/>
    <mergeCell ref="A3:H3"/>
    <mergeCell ref="C19:H19"/>
    <mergeCell ref="C38:H38"/>
    <mergeCell ref="A2:H2"/>
    <mergeCell ref="B12:H12"/>
    <mergeCell ref="A5:H5"/>
    <mergeCell ref="B11:H11"/>
    <mergeCell ref="C34:H34"/>
    <mergeCell ref="A8:H8"/>
    <mergeCell ref="C30:H30"/>
    <mergeCell ref="C33:H33"/>
    <mergeCell ref="B14:H14"/>
    <mergeCell ref="C24:H24"/>
    <mergeCell ref="C42:H42"/>
    <mergeCell ref="B13:H13"/>
    <mergeCell ref="A10:H10"/>
    <mergeCell ref="A28:H28"/>
    <mergeCell ref="C45:H45"/>
    <mergeCell ref="C35:H35"/>
    <mergeCell ref="A44:H44"/>
    <mergeCell ref="C26:H26"/>
    <mergeCell ref="C29:H29"/>
    <mergeCell ref="C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5" customWidth="1" min="1" max="1"/>
    <col width="22" customWidth="1" min="2" max="2"/>
    <col width="14" customWidth="1" min="4" max="4"/>
    <col width="14" customWidth="1" min="5" max="5"/>
    <col width="14" customWidth="1" min="6" max="6"/>
  </cols>
  <sheetData>
    <row r="1" ht="40" customHeight="1">
      <c r="A1" s="30" t="inlineStr">
        <is>
          <t>League Settings — Input Hub</t>
        </is>
      </c>
    </row>
    <row r="2" ht="28" customHeight="1">
      <c r="A2" s="31" t="inlineStr">
        <is>
          <t>Configure your league parameters below. These settings feed into the Dynamic Trade Chart calculations.</t>
        </is>
      </c>
    </row>
    <row r="3"/>
    <row r="4">
      <c r="A4" s="32" t="inlineStr">
        <is>
          <t>Setting</t>
        </is>
      </c>
      <c r="B4" s="32" t="inlineStr">
        <is>
          <t>Value</t>
        </is>
      </c>
      <c r="D4" s="33" t="inlineStr">
        <is>
          <t>Notes</t>
        </is>
      </c>
    </row>
    <row r="5">
      <c r="A5" s="34" t="inlineStr">
        <is>
          <t>League Name</t>
        </is>
      </c>
      <c r="B5" s="35" t="inlineStr">
        <is>
          <t>My League</t>
        </is>
      </c>
      <c r="D5" s="36" t="inlineStr">
        <is>
          <t>Enter your league name</t>
        </is>
      </c>
    </row>
    <row r="6">
      <c r="A6" s="34" t="inlineStr">
        <is>
          <t>Scoring Format</t>
        </is>
      </c>
      <c r="B6" s="35" t="inlineStr">
        <is>
          <t>Half PPR</t>
        </is>
      </c>
      <c r="D6" s="36" t="inlineStr">
        <is>
          <t>Standard / Half PPR / Full PPR</t>
        </is>
      </c>
    </row>
    <row r="7">
      <c r="A7" s="34" t="inlineStr">
        <is>
          <t>PPR Reception Points</t>
        </is>
      </c>
      <c r="B7" s="35" t="n">
        <v>0.5</v>
      </c>
      <c r="D7" s="36" t="inlineStr">
        <is>
          <t>Auto: 0=Std, 0.5=Half, 1.0=Full</t>
        </is>
      </c>
    </row>
    <row r="8">
      <c r="A8" s="34" t="inlineStr">
        <is>
          <t>Number of Teams</t>
        </is>
      </c>
      <c r="B8" s="35" t="n">
        <v>12</v>
      </c>
      <c r="D8" s="36" t="inlineStr">
        <is>
          <t>8 / 10 / 12 / 14 / 16 / 32</t>
        </is>
      </c>
    </row>
    <row r="9">
      <c r="A9" s="34" t="inlineStr">
        <is>
          <t>Roster Size</t>
        </is>
      </c>
      <c r="B9" s="35" t="n">
        <v>15</v>
      </c>
      <c r="D9" s="36" t="inlineStr">
        <is>
          <t>Total roster spots</t>
        </is>
      </c>
    </row>
    <row r="10">
      <c r="A10" s="34" t="inlineStr">
        <is>
          <t>QB Slots</t>
        </is>
      </c>
      <c r="B10" s="35" t="n">
        <v>1</v>
      </c>
      <c r="D10" s="36" t="inlineStr">
        <is>
          <t>Quarterback slots</t>
        </is>
      </c>
    </row>
    <row r="11">
      <c r="A11" s="34" t="inlineStr">
        <is>
          <t>RB Slots</t>
        </is>
      </c>
      <c r="B11" s="35" t="n">
        <v>2</v>
      </c>
      <c r="D11" s="36" t="inlineStr">
        <is>
          <t>Running back slots</t>
        </is>
      </c>
    </row>
    <row r="12">
      <c r="A12" s="34" t="inlineStr">
        <is>
          <t>WR Slots</t>
        </is>
      </c>
      <c r="B12" s="35" t="n">
        <v>2</v>
      </c>
      <c r="D12" s="36" t="inlineStr">
        <is>
          <t>Wide receiver slots</t>
        </is>
      </c>
    </row>
    <row r="13">
      <c r="A13" s="34" t="inlineStr">
        <is>
          <t>TE Slots</t>
        </is>
      </c>
      <c r="B13" s="35" t="n">
        <v>1</v>
      </c>
      <c r="D13" s="36" t="inlineStr">
        <is>
          <t>Tight end slots</t>
        </is>
      </c>
    </row>
    <row r="14">
      <c r="A14" s="34" t="inlineStr">
        <is>
          <t>FLEX Slots</t>
        </is>
      </c>
      <c r="B14" s="35" t="n">
        <v>1</v>
      </c>
      <c r="D14" s="36" t="inlineStr">
        <is>
          <t>FLEX (RB/WR/TE) slots</t>
        </is>
      </c>
    </row>
    <row r="15">
      <c r="A15" s="34" t="inlineStr">
        <is>
          <t>K Slots</t>
        </is>
      </c>
      <c r="B15" s="35" t="n">
        <v>1</v>
      </c>
      <c r="D15" s="36" t="inlineStr">
        <is>
          <t>Kicker slots</t>
        </is>
      </c>
    </row>
    <row r="16">
      <c r="A16" s="34" t="inlineStr">
        <is>
          <t>DEF Slots</t>
        </is>
      </c>
      <c r="B16" s="35" t="n">
        <v>1</v>
      </c>
      <c r="D16" s="36" t="inlineStr">
        <is>
          <t>Defense/ST slots</t>
        </is>
      </c>
    </row>
    <row r="17">
      <c r="A17" s="34" t="inlineStr">
        <is>
          <t>Trade Deadline Week</t>
        </is>
      </c>
      <c r="B17" s="35" t="n">
        <v>10</v>
      </c>
      <c r="D17" s="36" t="inlineStr">
        <is>
          <t>NFL week trade deadline</t>
        </is>
      </c>
    </row>
    <row r="18">
      <c r="A18" s="34" t="inlineStr">
        <is>
          <t>Waiver Type</t>
        </is>
      </c>
      <c r="B18" s="35" t="inlineStr">
        <is>
          <t>FAAB</t>
        </is>
      </c>
      <c r="D18" s="36" t="inlineStr">
        <is>
          <t>FAAB / Rolling / Reverse Standings</t>
        </is>
      </c>
    </row>
    <row r="19">
      <c r="A19" s="34" t="inlineStr">
        <is>
          <t>League Type</t>
        </is>
      </c>
      <c r="B19" s="35" t="inlineStr">
        <is>
          <t>Redraft</t>
        </is>
      </c>
      <c r="D19" s="36" t="inlineStr">
        <is>
          <t>Redraft = age-neutral (1.0); Dynasty = full age curve</t>
        </is>
      </c>
    </row>
  </sheetData>
  <mergeCells count="18">
    <mergeCell ref="A2:F2"/>
    <mergeCell ref="D19:F19"/>
    <mergeCell ref="D11:F11"/>
    <mergeCell ref="D13:F13"/>
    <mergeCell ref="D14:F14"/>
    <mergeCell ref="D5:F5"/>
    <mergeCell ref="A1:F1"/>
    <mergeCell ref="D4:F4"/>
    <mergeCell ref="D12:F12"/>
    <mergeCell ref="D18:F18"/>
    <mergeCell ref="D9:F9"/>
    <mergeCell ref="D17:F17"/>
    <mergeCell ref="D7:F7"/>
    <mergeCell ref="D8:F8"/>
    <mergeCell ref="D6:F6"/>
    <mergeCell ref="D15:F15"/>
    <mergeCell ref="D16:F16"/>
    <mergeCell ref="D10:F10"/>
  </mergeCells>
  <dataValidations count="4">
    <dataValidation sqref="B6" showDropDown="0" showInputMessage="0" showErrorMessage="0" allowBlank="1" type="list">
      <formula1>"Standard,Half PPR,Full PPR"</formula1>
    </dataValidation>
    <dataValidation sqref="B8" showDropDown="0" showInputMessage="0" showErrorMessage="0" allowBlank="1" type="list">
      <formula1>"8,10,12,14,16,32"</formula1>
    </dataValidation>
    <dataValidation sqref="B18" showDropDown="0" showInputMessage="0" showErrorMessage="0" allowBlank="1" type="list">
      <formula1>"FAAB,Rolling,Reverse Standings"</formula1>
    </dataValidation>
    <dataValidation sqref="B19" showDropDown="0" showInputMessage="0" showErrorMessage="0" allowBlank="1" type="list">
      <formula1>"Redraft,Dynasty"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8" customWidth="1" min="1" max="1"/>
    <col width="26" customWidth="1" min="2" max="2"/>
    <col width="12" customWidth="1" min="3" max="3"/>
    <col width="8" customWidth="1" min="4" max="4"/>
    <col width="8" customWidth="1" min="5" max="5"/>
    <col width="14" customWidth="1" min="6" max="6"/>
  </cols>
  <sheetData>
    <row r="1" ht="40" customHeight="1">
      <c r="A1" s="30" t="inlineStr">
        <is>
          <t>Base Player Values</t>
        </is>
      </c>
    </row>
    <row r="2" ht="25" customHeight="1">
      <c r="A2" s="45" t="inlineStr">
        <is>
          <t>60 Pre-Loaded NFL Players — Raw Base Values (0–100 Scale)</t>
        </is>
      </c>
    </row>
    <row r="3">
      <c r="A3" s="46" t="inlineStr">
        <is>
          <t>Rank</t>
        </is>
      </c>
      <c r="B3" s="47" t="inlineStr">
        <is>
          <t>Player Name</t>
        </is>
      </c>
      <c r="C3" s="47" t="inlineStr">
        <is>
          <t>Position</t>
        </is>
      </c>
      <c r="D3" s="47" t="inlineStr">
        <is>
          <t>Team</t>
        </is>
      </c>
      <c r="E3" s="47" t="inlineStr">
        <is>
          <t>Age</t>
        </is>
      </c>
      <c r="F3" s="48" t="inlineStr">
        <is>
          <t>Base Value</t>
        </is>
      </c>
    </row>
    <row r="4">
      <c r="A4" s="49" t="n">
        <v>1</v>
      </c>
      <c r="B4" s="50" t="inlineStr">
        <is>
          <t>Ja'Marr Chase</t>
        </is>
      </c>
      <c r="C4" s="49" t="inlineStr">
        <is>
          <t>WR</t>
        </is>
      </c>
      <c r="D4" s="49" t="inlineStr">
        <is>
          <t>CIN</t>
        </is>
      </c>
      <c r="E4" s="49" t="n">
        <v>25</v>
      </c>
      <c r="F4" s="51" t="n">
        <v>97</v>
      </c>
    </row>
    <row r="5">
      <c r="A5" s="52" t="n">
        <v>2</v>
      </c>
      <c r="B5" s="53" t="inlineStr">
        <is>
          <t>Bijan Robinson</t>
        </is>
      </c>
      <c r="C5" s="52" t="inlineStr">
        <is>
          <t>RB</t>
        </is>
      </c>
      <c r="D5" s="52" t="inlineStr">
        <is>
          <t>ATL</t>
        </is>
      </c>
      <c r="E5" s="52" t="n">
        <v>23</v>
      </c>
      <c r="F5" s="54" t="n">
        <v>96</v>
      </c>
    </row>
    <row r="6">
      <c r="A6" s="49" t="n">
        <v>3</v>
      </c>
      <c r="B6" s="50" t="inlineStr">
        <is>
          <t>Josh Allen</t>
        </is>
      </c>
      <c r="C6" s="49" t="inlineStr">
        <is>
          <t>QB</t>
        </is>
      </c>
      <c r="D6" s="49" t="inlineStr">
        <is>
          <t>BUF</t>
        </is>
      </c>
      <c r="E6" s="49" t="n">
        <v>30</v>
      </c>
      <c r="F6" s="51" t="n">
        <v>95</v>
      </c>
    </row>
    <row r="7">
      <c r="A7" s="52" t="n">
        <v>4</v>
      </c>
      <c r="B7" s="53" t="inlineStr">
        <is>
          <t>CeeDee Lamb</t>
        </is>
      </c>
      <c r="C7" s="52" t="inlineStr">
        <is>
          <t>WR</t>
        </is>
      </c>
      <c r="D7" s="52" t="inlineStr">
        <is>
          <t>DAL</t>
        </is>
      </c>
      <c r="E7" s="52" t="n">
        <v>26</v>
      </c>
      <c r="F7" s="54" t="n">
        <v>95</v>
      </c>
    </row>
    <row r="8">
      <c r="A8" s="49" t="n">
        <v>5</v>
      </c>
      <c r="B8" s="50" t="inlineStr">
        <is>
          <t>Breece Hall</t>
        </is>
      </c>
      <c r="C8" s="49" t="inlineStr">
        <is>
          <t>RB</t>
        </is>
      </c>
      <c r="D8" s="49" t="inlineStr">
        <is>
          <t>NYJ</t>
        </is>
      </c>
      <c r="E8" s="49" t="n">
        <v>24</v>
      </c>
      <c r="F8" s="51" t="n">
        <v>93</v>
      </c>
    </row>
    <row r="9">
      <c r="A9" s="52" t="n">
        <v>6</v>
      </c>
      <c r="B9" s="53" t="inlineStr">
        <is>
          <t>Lamar Jackson</t>
        </is>
      </c>
      <c r="C9" s="52" t="inlineStr">
        <is>
          <t>QB</t>
        </is>
      </c>
      <c r="D9" s="52" t="inlineStr">
        <is>
          <t>BAL</t>
        </is>
      </c>
      <c r="E9" s="52" t="n">
        <v>29</v>
      </c>
      <c r="F9" s="54" t="n">
        <v>93</v>
      </c>
    </row>
    <row r="10">
      <c r="A10" s="49" t="n">
        <v>7</v>
      </c>
      <c r="B10" s="50" t="inlineStr">
        <is>
          <t>Jahmyr Gibbs</t>
        </is>
      </c>
      <c r="C10" s="49" t="inlineStr">
        <is>
          <t>RB</t>
        </is>
      </c>
      <c r="D10" s="49" t="inlineStr">
        <is>
          <t>DET</t>
        </is>
      </c>
      <c r="E10" s="49" t="n">
        <v>23</v>
      </c>
      <c r="F10" s="51" t="n">
        <v>92</v>
      </c>
    </row>
    <row r="11">
      <c r="A11" s="52" t="n">
        <v>8</v>
      </c>
      <c r="B11" s="53" t="inlineStr">
        <is>
          <t>Tyreek Hill</t>
        </is>
      </c>
      <c r="C11" s="52" t="inlineStr">
        <is>
          <t>WR</t>
        </is>
      </c>
      <c r="D11" s="52" t="inlineStr">
        <is>
          <t>MIA</t>
        </is>
      </c>
      <c r="E11" s="52" t="n">
        <v>32</v>
      </c>
      <c r="F11" s="54" t="n">
        <v>91</v>
      </c>
    </row>
    <row r="12">
      <c r="A12" s="49" t="n">
        <v>9</v>
      </c>
      <c r="B12" s="50" t="inlineStr">
        <is>
          <t>Amon-Ra St. Brown</t>
        </is>
      </c>
      <c r="C12" s="49" t="inlineStr">
        <is>
          <t>WR</t>
        </is>
      </c>
      <c r="D12" s="49" t="inlineStr">
        <is>
          <t>DET</t>
        </is>
      </c>
      <c r="E12" s="49" t="n">
        <v>25</v>
      </c>
      <c r="F12" s="51" t="n">
        <v>91</v>
      </c>
    </row>
    <row r="13">
      <c r="A13" s="52" t="n">
        <v>10</v>
      </c>
      <c r="B13" s="53" t="inlineStr">
        <is>
          <t>Saquon Barkley</t>
        </is>
      </c>
      <c r="C13" s="52" t="inlineStr">
        <is>
          <t>RB</t>
        </is>
      </c>
      <c r="D13" s="52" t="inlineStr">
        <is>
          <t>PHI</t>
        </is>
      </c>
      <c r="E13" s="52" t="n">
        <v>28</v>
      </c>
      <c r="F13" s="54" t="n">
        <v>90</v>
      </c>
    </row>
    <row r="14">
      <c r="A14" s="49" t="n">
        <v>11</v>
      </c>
      <c r="B14" s="50" t="inlineStr">
        <is>
          <t>Patrick Mahomes</t>
        </is>
      </c>
      <c r="C14" s="49" t="inlineStr">
        <is>
          <t>QB</t>
        </is>
      </c>
      <c r="D14" s="49" t="inlineStr">
        <is>
          <t>KC</t>
        </is>
      </c>
      <c r="E14" s="49" t="n">
        <v>30</v>
      </c>
      <c r="F14" s="51" t="n">
        <v>90</v>
      </c>
    </row>
    <row r="15">
      <c r="A15" s="52" t="n">
        <v>12</v>
      </c>
      <c r="B15" s="53" t="inlineStr">
        <is>
          <t>Puka Nacua</t>
        </is>
      </c>
      <c r="C15" s="52" t="inlineStr">
        <is>
          <t>WR</t>
        </is>
      </c>
      <c r="D15" s="52" t="inlineStr">
        <is>
          <t>LAR</t>
        </is>
      </c>
      <c r="E15" s="52" t="n">
        <v>24</v>
      </c>
      <c r="F15" s="54" t="n">
        <v>89</v>
      </c>
    </row>
    <row r="16">
      <c r="A16" s="49" t="n">
        <v>13</v>
      </c>
      <c r="B16" s="50" t="inlineStr">
        <is>
          <t>Jonathan Taylor</t>
        </is>
      </c>
      <c r="C16" s="49" t="inlineStr">
        <is>
          <t>RB</t>
        </is>
      </c>
      <c r="D16" s="49" t="inlineStr">
        <is>
          <t>IND</t>
        </is>
      </c>
      <c r="E16" s="49" t="n">
        <v>27</v>
      </c>
      <c r="F16" s="51" t="n">
        <v>88</v>
      </c>
    </row>
    <row r="17">
      <c r="A17" s="52" t="n">
        <v>14</v>
      </c>
      <c r="B17" s="53" t="inlineStr">
        <is>
          <t>De'Von Achane</t>
        </is>
      </c>
      <c r="C17" s="52" t="inlineStr">
        <is>
          <t>RB</t>
        </is>
      </c>
      <c r="D17" s="52" t="inlineStr">
        <is>
          <t>MIA</t>
        </is>
      </c>
      <c r="E17" s="52" t="n">
        <v>23</v>
      </c>
      <c r="F17" s="54" t="n">
        <v>88</v>
      </c>
    </row>
    <row r="18">
      <c r="A18" s="49" t="n">
        <v>15</v>
      </c>
      <c r="B18" s="50" t="inlineStr">
        <is>
          <t>Jalen Hurts</t>
        </is>
      </c>
      <c r="C18" s="49" t="inlineStr">
        <is>
          <t>QB</t>
        </is>
      </c>
      <c r="D18" s="49" t="inlineStr">
        <is>
          <t>PHI</t>
        </is>
      </c>
      <c r="E18" s="49" t="n">
        <v>27</v>
      </c>
      <c r="F18" s="51" t="n">
        <v>87</v>
      </c>
    </row>
    <row r="19">
      <c r="A19" s="52" t="n">
        <v>16</v>
      </c>
      <c r="B19" s="53" t="inlineStr">
        <is>
          <t>Garrett Wilson</t>
        </is>
      </c>
      <c r="C19" s="52" t="inlineStr">
        <is>
          <t>WR</t>
        </is>
      </c>
      <c r="D19" s="52" t="inlineStr">
        <is>
          <t>NYJ</t>
        </is>
      </c>
      <c r="E19" s="52" t="n">
        <v>25</v>
      </c>
      <c r="F19" s="54" t="n">
        <v>86</v>
      </c>
    </row>
    <row r="20">
      <c r="A20" s="49" t="n">
        <v>17</v>
      </c>
      <c r="B20" s="50" t="inlineStr">
        <is>
          <t>Malik Nabers</t>
        </is>
      </c>
      <c r="C20" s="49" t="inlineStr">
        <is>
          <t>WR</t>
        </is>
      </c>
      <c r="D20" s="49" t="inlineStr">
        <is>
          <t>NYG</t>
        </is>
      </c>
      <c r="E20" s="49" t="n">
        <v>22</v>
      </c>
      <c r="F20" s="51" t="n">
        <v>86</v>
      </c>
    </row>
    <row r="21">
      <c r="A21" s="52" t="n">
        <v>18</v>
      </c>
      <c r="B21" s="53" t="inlineStr">
        <is>
          <t>Nico Collins</t>
        </is>
      </c>
      <c r="C21" s="52" t="inlineStr">
        <is>
          <t>WR</t>
        </is>
      </c>
      <c r="D21" s="52" t="inlineStr">
        <is>
          <t>HOU</t>
        </is>
      </c>
      <c r="E21" s="52" t="n">
        <v>26</v>
      </c>
      <c r="F21" s="54" t="n">
        <v>85</v>
      </c>
    </row>
    <row r="22">
      <c r="A22" s="49" t="n">
        <v>19</v>
      </c>
      <c r="B22" s="50" t="inlineStr">
        <is>
          <t>Josh Jacobs</t>
        </is>
      </c>
      <c r="C22" s="49" t="inlineStr">
        <is>
          <t>RB</t>
        </is>
      </c>
      <c r="D22" s="49" t="inlineStr">
        <is>
          <t>GB</t>
        </is>
      </c>
      <c r="E22" s="49" t="n">
        <v>27</v>
      </c>
      <c r="F22" s="51" t="n">
        <v>85</v>
      </c>
    </row>
    <row r="23">
      <c r="A23" s="52" t="n">
        <v>20</v>
      </c>
      <c r="B23" s="53" t="inlineStr">
        <is>
          <t>Drake London</t>
        </is>
      </c>
      <c r="C23" s="52" t="inlineStr">
        <is>
          <t>WR</t>
        </is>
      </c>
      <c r="D23" s="52" t="inlineStr">
        <is>
          <t>ATL</t>
        </is>
      </c>
      <c r="E23" s="52" t="n">
        <v>24</v>
      </c>
      <c r="F23" s="54" t="n">
        <v>84</v>
      </c>
    </row>
    <row r="24">
      <c r="A24" s="49" t="n">
        <v>21</v>
      </c>
      <c r="B24" s="50" t="inlineStr">
        <is>
          <t>Kyren Williams</t>
        </is>
      </c>
      <c r="C24" s="49" t="inlineStr">
        <is>
          <t>RB</t>
        </is>
      </c>
      <c r="D24" s="49" t="inlineStr">
        <is>
          <t>LAR</t>
        </is>
      </c>
      <c r="E24" s="49" t="n">
        <v>25</v>
      </c>
      <c r="F24" s="51" t="n">
        <v>84</v>
      </c>
    </row>
    <row r="25">
      <c r="A25" s="52" t="n">
        <v>22</v>
      </c>
      <c r="B25" s="53" t="inlineStr">
        <is>
          <t>Joe Burrow</t>
        </is>
      </c>
      <c r="C25" s="52" t="inlineStr">
        <is>
          <t>QB</t>
        </is>
      </c>
      <c r="D25" s="52" t="inlineStr">
        <is>
          <t>CIN</t>
        </is>
      </c>
      <c r="E25" s="52" t="n">
        <v>29</v>
      </c>
      <c r="F25" s="54" t="n">
        <v>84</v>
      </c>
    </row>
    <row r="26">
      <c r="A26" s="49" t="n">
        <v>23</v>
      </c>
      <c r="B26" s="50" t="inlineStr">
        <is>
          <t>Marvin Harrison Jr</t>
        </is>
      </c>
      <c r="C26" s="49" t="inlineStr">
        <is>
          <t>WR</t>
        </is>
      </c>
      <c r="D26" s="49" t="inlineStr">
        <is>
          <t>ARI</t>
        </is>
      </c>
      <c r="E26" s="49" t="n">
        <v>23</v>
      </c>
      <c r="F26" s="51" t="n">
        <v>83</v>
      </c>
    </row>
    <row r="27">
      <c r="A27" s="52" t="n">
        <v>24</v>
      </c>
      <c r="B27" s="53" t="inlineStr">
        <is>
          <t>Kenneth Walker</t>
        </is>
      </c>
      <c r="C27" s="52" t="inlineStr">
        <is>
          <t>RB</t>
        </is>
      </c>
      <c r="D27" s="52" t="inlineStr">
        <is>
          <t>SEA</t>
        </is>
      </c>
      <c r="E27" s="52" t="n">
        <v>25</v>
      </c>
      <c r="F27" s="54" t="n">
        <v>82</v>
      </c>
    </row>
    <row r="28">
      <c r="A28" s="49" t="n">
        <v>25</v>
      </c>
      <c r="B28" s="50" t="inlineStr">
        <is>
          <t>Sam LaPorta</t>
        </is>
      </c>
      <c r="C28" s="49" t="inlineStr">
        <is>
          <t>TE</t>
        </is>
      </c>
      <c r="D28" s="49" t="inlineStr">
        <is>
          <t>DET</t>
        </is>
      </c>
      <c r="E28" s="49" t="n">
        <v>24</v>
      </c>
      <c r="F28" s="51" t="n">
        <v>82</v>
      </c>
    </row>
    <row r="29">
      <c r="A29" s="52" t="n">
        <v>26</v>
      </c>
      <c r="B29" s="53" t="inlineStr">
        <is>
          <t>Brock Bowers</t>
        </is>
      </c>
      <c r="C29" s="52" t="inlineStr">
        <is>
          <t>TE</t>
        </is>
      </c>
      <c r="D29" s="52" t="inlineStr">
        <is>
          <t>LV</t>
        </is>
      </c>
      <c r="E29" s="52" t="n">
        <v>22</v>
      </c>
      <c r="F29" s="54" t="n">
        <v>81</v>
      </c>
    </row>
    <row r="30">
      <c r="A30" s="49" t="n">
        <v>27</v>
      </c>
      <c r="B30" s="50" t="inlineStr">
        <is>
          <t>Derrick Henry</t>
        </is>
      </c>
      <c r="C30" s="49" t="inlineStr">
        <is>
          <t>RB</t>
        </is>
      </c>
      <c r="D30" s="49" t="inlineStr">
        <is>
          <t>BAL</t>
        </is>
      </c>
      <c r="E30" s="49" t="n">
        <v>32</v>
      </c>
      <c r="F30" s="51" t="n">
        <v>80</v>
      </c>
    </row>
    <row r="31">
      <c r="A31" s="52" t="n">
        <v>28</v>
      </c>
      <c r="B31" s="53" t="inlineStr">
        <is>
          <t>DeVonta Smith</t>
        </is>
      </c>
      <c r="C31" s="52" t="inlineStr">
        <is>
          <t>WR</t>
        </is>
      </c>
      <c r="D31" s="52" t="inlineStr">
        <is>
          <t>PHI</t>
        </is>
      </c>
      <c r="E31" s="52" t="n">
        <v>26</v>
      </c>
      <c r="F31" s="54" t="n">
        <v>79</v>
      </c>
    </row>
    <row r="32">
      <c r="A32" s="49" t="n">
        <v>29</v>
      </c>
      <c r="B32" s="50" t="inlineStr">
        <is>
          <t>James Cook</t>
        </is>
      </c>
      <c r="C32" s="49" t="inlineStr">
        <is>
          <t>RB</t>
        </is>
      </c>
      <c r="D32" s="49" t="inlineStr">
        <is>
          <t>BUF</t>
        </is>
      </c>
      <c r="E32" s="49" t="n">
        <v>25</v>
      </c>
      <c r="F32" s="51" t="n">
        <v>78</v>
      </c>
    </row>
    <row r="33">
      <c r="A33" s="52" t="n">
        <v>30</v>
      </c>
      <c r="B33" s="53" t="inlineStr">
        <is>
          <t>CJ Stroud</t>
        </is>
      </c>
      <c r="C33" s="52" t="inlineStr">
        <is>
          <t>QB</t>
        </is>
      </c>
      <c r="D33" s="52" t="inlineStr">
        <is>
          <t>HOU</t>
        </is>
      </c>
      <c r="E33" s="52" t="n">
        <v>24</v>
      </c>
      <c r="F33" s="54" t="n">
        <v>78</v>
      </c>
    </row>
    <row r="34">
      <c r="A34" s="49" t="n">
        <v>31</v>
      </c>
      <c r="B34" s="50" t="inlineStr">
        <is>
          <t>Jayden Daniels</t>
        </is>
      </c>
      <c r="C34" s="49" t="inlineStr">
        <is>
          <t>QB</t>
        </is>
      </c>
      <c r="D34" s="49" t="inlineStr">
        <is>
          <t>WSH</t>
        </is>
      </c>
      <c r="E34" s="49" t="n">
        <v>24</v>
      </c>
      <c r="F34" s="51" t="n">
        <v>77</v>
      </c>
    </row>
    <row r="35">
      <c r="A35" s="52" t="n">
        <v>32</v>
      </c>
      <c r="B35" s="53" t="inlineStr">
        <is>
          <t>DK Metcalf</t>
        </is>
      </c>
      <c r="C35" s="52" t="inlineStr">
        <is>
          <t>WR</t>
        </is>
      </c>
      <c r="D35" s="52" t="inlineStr">
        <is>
          <t>SEA</t>
        </is>
      </c>
      <c r="E35" s="52" t="n">
        <v>28</v>
      </c>
      <c r="F35" s="54" t="n">
        <v>77</v>
      </c>
    </row>
    <row r="36">
      <c r="A36" s="49" t="n">
        <v>33</v>
      </c>
      <c r="B36" s="50" t="inlineStr">
        <is>
          <t>Trey McBride</t>
        </is>
      </c>
      <c r="C36" s="49" t="inlineStr">
        <is>
          <t>TE</t>
        </is>
      </c>
      <c r="D36" s="49" t="inlineStr">
        <is>
          <t>ARI</t>
        </is>
      </c>
      <c r="E36" s="49" t="n">
        <v>25</v>
      </c>
      <c r="F36" s="51" t="n">
        <v>76</v>
      </c>
    </row>
    <row r="37">
      <c r="A37" s="52" t="n">
        <v>34</v>
      </c>
      <c r="B37" s="53" t="inlineStr">
        <is>
          <t>Travis Etienne</t>
        </is>
      </c>
      <c r="C37" s="52" t="inlineStr">
        <is>
          <t>RB</t>
        </is>
      </c>
      <c r="D37" s="52" t="inlineStr">
        <is>
          <t>JAX</t>
        </is>
      </c>
      <c r="E37" s="52" t="n">
        <v>27</v>
      </c>
      <c r="F37" s="54" t="n">
        <v>75</v>
      </c>
    </row>
    <row r="38">
      <c r="A38" s="49" t="n">
        <v>35</v>
      </c>
      <c r="B38" s="50" t="inlineStr">
        <is>
          <t>Tee Higgins</t>
        </is>
      </c>
      <c r="C38" s="49" t="inlineStr">
        <is>
          <t>WR</t>
        </is>
      </c>
      <c r="D38" s="49" t="inlineStr">
        <is>
          <t>CIN</t>
        </is>
      </c>
      <c r="E38" s="49" t="n">
        <v>27</v>
      </c>
      <c r="F38" s="51" t="n">
        <v>74</v>
      </c>
    </row>
    <row r="39">
      <c r="A39" s="52" t="n">
        <v>36</v>
      </c>
      <c r="B39" s="53" t="inlineStr">
        <is>
          <t>Brian Thomas Jr</t>
        </is>
      </c>
      <c r="C39" s="52" t="inlineStr">
        <is>
          <t>WR</t>
        </is>
      </c>
      <c r="D39" s="52" t="inlineStr">
        <is>
          <t>JAX</t>
        </is>
      </c>
      <c r="E39" s="52" t="n">
        <v>23</v>
      </c>
      <c r="F39" s="54" t="n">
        <v>74</v>
      </c>
    </row>
    <row r="40">
      <c r="A40" s="49" t="n">
        <v>37</v>
      </c>
      <c r="B40" s="50" t="inlineStr">
        <is>
          <t>Chris Olave</t>
        </is>
      </c>
      <c r="C40" s="49" t="inlineStr">
        <is>
          <t>WR</t>
        </is>
      </c>
      <c r="D40" s="49" t="inlineStr">
        <is>
          <t>NO</t>
        </is>
      </c>
      <c r="E40" s="49" t="n">
        <v>25</v>
      </c>
      <c r="F40" s="51" t="n">
        <v>73</v>
      </c>
    </row>
    <row r="41">
      <c r="A41" s="52" t="n">
        <v>38</v>
      </c>
      <c r="B41" s="53" t="inlineStr">
        <is>
          <t>Jaylen Waddle</t>
        </is>
      </c>
      <c r="C41" s="52" t="inlineStr">
        <is>
          <t>WR</t>
        </is>
      </c>
      <c r="D41" s="52" t="inlineStr">
        <is>
          <t>MIA</t>
        </is>
      </c>
      <c r="E41" s="52" t="n">
        <v>26</v>
      </c>
      <c r="F41" s="54" t="n">
        <v>72</v>
      </c>
    </row>
    <row r="42">
      <c r="A42" s="49" t="n">
        <v>39</v>
      </c>
      <c r="B42" s="50" t="inlineStr">
        <is>
          <t>Isiah Pacheco</t>
        </is>
      </c>
      <c r="C42" s="49" t="inlineStr">
        <is>
          <t>RB</t>
        </is>
      </c>
      <c r="D42" s="49" t="inlineStr">
        <is>
          <t>KC</t>
        </is>
      </c>
      <c r="E42" s="49" t="n">
        <v>26</v>
      </c>
      <c r="F42" s="51" t="n">
        <v>72</v>
      </c>
    </row>
    <row r="43">
      <c r="A43" s="52" t="n">
        <v>40</v>
      </c>
      <c r="B43" s="53" t="inlineStr">
        <is>
          <t>George Kittle</t>
        </is>
      </c>
      <c r="C43" s="52" t="inlineStr">
        <is>
          <t>TE</t>
        </is>
      </c>
      <c r="D43" s="52" t="inlineStr">
        <is>
          <t>SF</t>
        </is>
      </c>
      <c r="E43" s="52" t="n">
        <v>32</v>
      </c>
      <c r="F43" s="54" t="n">
        <v>71</v>
      </c>
    </row>
    <row r="44">
      <c r="A44" s="49" t="n">
        <v>41</v>
      </c>
      <c r="B44" s="50" t="inlineStr">
        <is>
          <t>Zay Flowers</t>
        </is>
      </c>
      <c r="C44" s="49" t="inlineStr">
        <is>
          <t>WR</t>
        </is>
      </c>
      <c r="D44" s="49" t="inlineStr">
        <is>
          <t>BAL</t>
        </is>
      </c>
      <c r="E44" s="49" t="n">
        <v>24</v>
      </c>
      <c r="F44" s="51" t="n">
        <v>70</v>
      </c>
    </row>
    <row r="45">
      <c r="A45" s="52" t="n">
        <v>42</v>
      </c>
      <c r="B45" s="53" t="inlineStr">
        <is>
          <t>David Montgomery</t>
        </is>
      </c>
      <c r="C45" s="52" t="inlineStr">
        <is>
          <t>RB</t>
        </is>
      </c>
      <c r="D45" s="52" t="inlineStr">
        <is>
          <t>DET</t>
        </is>
      </c>
      <c r="E45" s="52" t="n">
        <v>28</v>
      </c>
      <c r="F45" s="54" t="n">
        <v>69</v>
      </c>
    </row>
    <row r="46">
      <c r="A46" s="49" t="n">
        <v>43</v>
      </c>
      <c r="B46" s="50" t="inlineStr">
        <is>
          <t>Anthony Richardson</t>
        </is>
      </c>
      <c r="C46" s="49" t="inlineStr">
        <is>
          <t>QB</t>
        </is>
      </c>
      <c r="D46" s="49" t="inlineStr">
        <is>
          <t>IND</t>
        </is>
      </c>
      <c r="E46" s="49" t="n">
        <v>23</v>
      </c>
      <c r="F46" s="51" t="n">
        <v>68</v>
      </c>
    </row>
    <row r="47">
      <c r="A47" s="52" t="n">
        <v>44</v>
      </c>
      <c r="B47" s="53" t="inlineStr">
        <is>
          <t>Ladd McConkey</t>
        </is>
      </c>
      <c r="C47" s="52" t="inlineStr">
        <is>
          <t>WR</t>
        </is>
      </c>
      <c r="D47" s="52" t="inlineStr">
        <is>
          <t>LAC</t>
        </is>
      </c>
      <c r="E47" s="52" t="n">
        <v>23</v>
      </c>
      <c r="F47" s="54" t="n">
        <v>68</v>
      </c>
    </row>
    <row r="48">
      <c r="A48" s="49" t="n">
        <v>45</v>
      </c>
      <c r="B48" s="50" t="inlineStr">
        <is>
          <t>Mark Andrews</t>
        </is>
      </c>
      <c r="C48" s="49" t="inlineStr">
        <is>
          <t>TE</t>
        </is>
      </c>
      <c r="D48" s="49" t="inlineStr">
        <is>
          <t>BAL</t>
        </is>
      </c>
      <c r="E48" s="49" t="n">
        <v>30</v>
      </c>
      <c r="F48" s="51" t="n">
        <v>67</v>
      </c>
    </row>
    <row r="49">
      <c r="A49" s="52" t="n">
        <v>46</v>
      </c>
      <c r="B49" s="53" t="inlineStr">
        <is>
          <t>Rachaad White</t>
        </is>
      </c>
      <c r="C49" s="52" t="inlineStr">
        <is>
          <t>RB</t>
        </is>
      </c>
      <c r="D49" s="52" t="inlineStr">
        <is>
          <t>TB</t>
        </is>
      </c>
      <c r="E49" s="52" t="n">
        <v>26</v>
      </c>
      <c r="F49" s="54" t="n">
        <v>66</v>
      </c>
    </row>
    <row r="50">
      <c r="A50" s="49" t="n">
        <v>47</v>
      </c>
      <c r="B50" s="50" t="inlineStr">
        <is>
          <t>Joe Mixon</t>
        </is>
      </c>
      <c r="C50" s="49" t="inlineStr">
        <is>
          <t>RB</t>
        </is>
      </c>
      <c r="D50" s="49" t="inlineStr">
        <is>
          <t>HOU</t>
        </is>
      </c>
      <c r="E50" s="49" t="n">
        <v>29</v>
      </c>
      <c r="F50" s="51" t="n">
        <v>65</v>
      </c>
    </row>
    <row r="51">
      <c r="A51" s="52" t="n">
        <v>48</v>
      </c>
      <c r="B51" s="53" t="inlineStr">
        <is>
          <t>Travis Kelce</t>
        </is>
      </c>
      <c r="C51" s="52" t="inlineStr">
        <is>
          <t>TE</t>
        </is>
      </c>
      <c r="D51" s="52" t="inlineStr">
        <is>
          <t>KC</t>
        </is>
      </c>
      <c r="E51" s="52" t="n">
        <v>36</v>
      </c>
      <c r="F51" s="54" t="n">
        <v>64</v>
      </c>
    </row>
    <row r="52">
      <c r="A52" s="49" t="n">
        <v>49</v>
      </c>
      <c r="B52" s="50" t="inlineStr">
        <is>
          <t>Aaron Jones</t>
        </is>
      </c>
      <c r="C52" s="49" t="inlineStr">
        <is>
          <t>RB</t>
        </is>
      </c>
      <c r="D52" s="49" t="inlineStr">
        <is>
          <t>MIN</t>
        </is>
      </c>
      <c r="E52" s="49" t="n">
        <v>31</v>
      </c>
      <c r="F52" s="51" t="n">
        <v>63</v>
      </c>
    </row>
    <row r="53">
      <c r="A53" s="52" t="n">
        <v>50</v>
      </c>
      <c r="B53" s="53" t="inlineStr">
        <is>
          <t>Dalton Kincaid</t>
        </is>
      </c>
      <c r="C53" s="52" t="inlineStr">
        <is>
          <t>TE</t>
        </is>
      </c>
      <c r="D53" s="52" t="inlineStr">
        <is>
          <t>BUF</t>
        </is>
      </c>
      <c r="E53" s="52" t="n">
        <v>25</v>
      </c>
      <c r="F53" s="54" t="n">
        <v>62</v>
      </c>
    </row>
    <row r="54">
      <c r="A54" s="49" t="n">
        <v>51</v>
      </c>
      <c r="B54" s="50" t="inlineStr">
        <is>
          <t>Rhamondre Stevenson</t>
        </is>
      </c>
      <c r="C54" s="49" t="inlineStr">
        <is>
          <t>RB</t>
        </is>
      </c>
      <c r="D54" s="49" t="inlineStr">
        <is>
          <t>NE</t>
        </is>
      </c>
      <c r="E54" s="49" t="n">
        <v>27</v>
      </c>
      <c r="F54" s="51" t="n">
        <v>60</v>
      </c>
    </row>
    <row r="55">
      <c r="A55" s="52" t="n">
        <v>52</v>
      </c>
      <c r="B55" s="53" t="inlineStr">
        <is>
          <t>Kyle Pitts</t>
        </is>
      </c>
      <c r="C55" s="52" t="inlineStr">
        <is>
          <t>TE</t>
        </is>
      </c>
      <c r="D55" s="52" t="inlineStr">
        <is>
          <t>ATL</t>
        </is>
      </c>
      <c r="E55" s="52" t="n">
        <v>25</v>
      </c>
      <c r="F55" s="54" t="n">
        <v>58</v>
      </c>
    </row>
    <row r="56">
      <c r="A56" s="49" t="n">
        <v>53</v>
      </c>
      <c r="B56" s="50" t="inlineStr">
        <is>
          <t>Jonathon Brooks</t>
        </is>
      </c>
      <c r="C56" s="49" t="inlineStr">
        <is>
          <t>RB</t>
        </is>
      </c>
      <c r="D56" s="49" t="inlineStr">
        <is>
          <t>CAR</t>
        </is>
      </c>
      <c r="E56" s="49" t="n">
        <v>22</v>
      </c>
      <c r="F56" s="51" t="n">
        <v>55</v>
      </c>
    </row>
    <row r="57">
      <c r="A57" s="52" t="n">
        <v>54</v>
      </c>
      <c r="B57" s="53" t="inlineStr">
        <is>
          <t>Harrison Butker</t>
        </is>
      </c>
      <c r="C57" s="52" t="inlineStr">
        <is>
          <t>K</t>
        </is>
      </c>
      <c r="D57" s="52" t="inlineStr">
        <is>
          <t>KC</t>
        </is>
      </c>
      <c r="E57" s="52" t="n">
        <v>30</v>
      </c>
      <c r="F57" s="54" t="n">
        <v>52</v>
      </c>
    </row>
    <row r="58">
      <c r="A58" s="49" t="n">
        <v>55</v>
      </c>
      <c r="B58" s="50" t="inlineStr">
        <is>
          <t>Brandon Aubrey</t>
        </is>
      </c>
      <c r="C58" s="49" t="inlineStr">
        <is>
          <t>K</t>
        </is>
      </c>
      <c r="D58" s="49" t="inlineStr">
        <is>
          <t>DAL</t>
        </is>
      </c>
      <c r="E58" s="49" t="n">
        <v>29</v>
      </c>
      <c r="F58" s="51" t="n">
        <v>50</v>
      </c>
    </row>
    <row r="59">
      <c r="A59" s="52" t="n">
        <v>56</v>
      </c>
      <c r="B59" s="53" t="inlineStr">
        <is>
          <t>San Francisco DEF</t>
        </is>
      </c>
      <c r="C59" s="52" t="inlineStr">
        <is>
          <t>DEF</t>
        </is>
      </c>
      <c r="D59" s="52" t="inlineStr">
        <is>
          <t>SF</t>
        </is>
      </c>
      <c r="E59" s="52" t="n">
        <v>0</v>
      </c>
      <c r="F59" s="54" t="n">
        <v>48</v>
      </c>
    </row>
    <row r="60">
      <c r="A60" s="49" t="n">
        <v>57</v>
      </c>
      <c r="B60" s="50" t="inlineStr">
        <is>
          <t>Dallas DEF</t>
        </is>
      </c>
      <c r="C60" s="49" t="inlineStr">
        <is>
          <t>DEF</t>
        </is>
      </c>
      <c r="D60" s="49" t="inlineStr">
        <is>
          <t>DAL</t>
        </is>
      </c>
      <c r="E60" s="49" t="n">
        <v>0</v>
      </c>
      <c r="F60" s="51" t="n">
        <v>45</v>
      </c>
    </row>
    <row r="61">
      <c r="A61" s="52" t="n">
        <v>58</v>
      </c>
      <c r="B61" s="53" t="inlineStr">
        <is>
          <t>Ka'imi Fairbairn</t>
        </is>
      </c>
      <c r="C61" s="52" t="inlineStr">
        <is>
          <t>K</t>
        </is>
      </c>
      <c r="D61" s="52" t="inlineStr">
        <is>
          <t>HOU</t>
        </is>
      </c>
      <c r="E61" s="52" t="n">
        <v>32</v>
      </c>
      <c r="F61" s="54" t="n">
        <v>42</v>
      </c>
    </row>
    <row r="62">
      <c r="A62" s="49" t="n">
        <v>59</v>
      </c>
      <c r="B62" s="50" t="inlineStr">
        <is>
          <t>Baltimore DEF</t>
        </is>
      </c>
      <c r="C62" s="49" t="inlineStr">
        <is>
          <t>DEF</t>
        </is>
      </c>
      <c r="D62" s="49" t="inlineStr">
        <is>
          <t>BAL</t>
        </is>
      </c>
      <c r="E62" s="49" t="n">
        <v>0</v>
      </c>
      <c r="F62" s="51" t="n">
        <v>40</v>
      </c>
    </row>
    <row r="63">
      <c r="A63" s="52" t="n">
        <v>60</v>
      </c>
      <c r="B63" s="53" t="inlineStr">
        <is>
          <t>Jake Moody</t>
        </is>
      </c>
      <c r="C63" s="52" t="inlineStr">
        <is>
          <t>K</t>
        </is>
      </c>
      <c r="D63" s="52" t="inlineStr">
        <is>
          <t>SF</t>
        </is>
      </c>
      <c r="E63" s="52" t="n">
        <v>26</v>
      </c>
      <c r="F63" s="54" t="n">
        <v>38</v>
      </c>
    </row>
    <row r="64">
      <c r="A64" s="49" t="n"/>
      <c r="B64" s="50" t="n"/>
      <c r="C64" s="49" t="n"/>
      <c r="D64" s="49" t="n"/>
      <c r="E64" s="49" t="n"/>
      <c r="F64" s="51" t="n"/>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2" customWidth="1" min="1" max="1"/>
    <col width="12" customWidth="1" min="2" max="2"/>
    <col width="75" customWidth="1" min="3" max="3"/>
  </cols>
  <sheetData>
    <row r="1" ht="40" customHeight="1">
      <c r="A1" s="30" t="inlineStr">
        <is>
          <t>Dynamic Adjustments</t>
        </is>
      </c>
    </row>
    <row r="2" ht="25" customHeight="1">
      <c r="A2" s="45" t="inlineStr">
        <is>
          <t>6 Weighted Adjustment Factors — Must Sum to 1.0</t>
        </is>
      </c>
    </row>
    <row r="3"/>
    <row r="4">
      <c r="A4" s="32" t="inlineStr">
        <is>
          <t>Factor</t>
        </is>
      </c>
      <c r="B4" s="32" t="inlineStr">
        <is>
          <t>Weight</t>
        </is>
      </c>
      <c r="C4" s="32" t="inlineStr">
        <is>
          <t>Description</t>
        </is>
      </c>
    </row>
    <row r="5">
      <c r="A5" s="34" t="inlineStr">
        <is>
          <t>Position Scarcity</t>
        </is>
      </c>
      <c r="B5" s="55" t="n">
        <v>0.25</v>
      </c>
      <c r="C5" s="56" t="inlineStr">
        <is>
          <t>Multipliers by position: QB 0.95, RB 1.25, WR 1.20, TE 1.10, K 0.85, DEF 0.85</t>
        </is>
      </c>
    </row>
    <row r="6">
      <c r="A6" s="34" t="inlineStr">
        <is>
          <t>Age Curve</t>
        </is>
      </c>
      <c r="B6" s="55" t="n">
        <v>0.2</v>
      </c>
      <c r="C6" s="56" t="inlineStr">
        <is>
          <t>Multipliers by age: ≤24=1.15, 25–27=1.05, 28–30=0.95, ≥31=0.85</t>
        </is>
      </c>
    </row>
    <row r="7">
      <c r="A7" s="34" t="inlineStr">
        <is>
          <t>Recent Performance</t>
        </is>
      </c>
      <c r="B7" s="55" t="n">
        <v>0.2</v>
      </c>
      <c r="C7" s="56" t="inlineStr">
        <is>
          <t>Last 4 weeks trend modifier (user input per player, scale 0.80–1.20)</t>
        </is>
      </c>
    </row>
    <row r="8">
      <c r="A8" s="34" t="inlineStr">
        <is>
          <t>Schedule Strength</t>
        </is>
      </c>
      <c r="B8" s="55" t="n">
        <v>0.15</v>
      </c>
      <c r="C8" s="56" t="inlineStr">
        <is>
          <t>Remaining schedule difficulty (user input per player, scale 0.85–1.15)</t>
        </is>
      </c>
    </row>
    <row r="9">
      <c r="A9" s="34" t="inlineStr">
        <is>
          <t>Injury Risk</t>
        </is>
      </c>
      <c r="B9" s="55" t="n">
        <v>0.1</v>
      </c>
      <c r="C9" s="56" t="inlineStr">
        <is>
          <t>Health/durability factor (user input per player, scale 0.70–1.10)</t>
        </is>
      </c>
    </row>
    <row r="10">
      <c r="A10" s="34" t="inlineStr">
        <is>
          <t>Team Situation</t>
        </is>
      </c>
      <c r="B10" s="55" t="n">
        <v>0.1</v>
      </c>
      <c r="C10" s="56" t="inlineStr">
        <is>
          <t>Coaching, offensive scheme, target share context (user input per player, scale 0.80–1.20)</t>
        </is>
      </c>
    </row>
    <row r="11"/>
    <row r="12">
      <c r="A12" s="57" t="inlineStr">
        <is>
          <t>Weight Total</t>
        </is>
      </c>
      <c r="B12" s="58">
        <f>SUM(B5:B10)</f>
        <v/>
      </c>
    </row>
    <row r="13">
      <c r="A13" s="59" t="inlineStr">
        <is>
          <t>Validation</t>
        </is>
      </c>
      <c r="C13" s="60">
        <f>IF(B12=1,"VALID ✔ Weights sum to 1.0","WARNING ⚠ Weights do NOT sum to 1.0!")</f>
        <v/>
      </c>
    </row>
    <row r="14"/>
    <row r="15"/>
    <row r="16">
      <c r="A16" s="61" t="inlineStr">
        <is>
          <t>Position Scarcity Multiplier Table</t>
        </is>
      </c>
    </row>
    <row r="17">
      <c r="A17" s="62" t="inlineStr">
        <is>
          <t>Position</t>
        </is>
      </c>
      <c r="B17" s="62" t="inlineStr">
        <is>
          <t>Multiplier</t>
        </is>
      </c>
    </row>
    <row r="18">
      <c r="A18" s="63" t="inlineStr">
        <is>
          <t>QB</t>
        </is>
      </c>
      <c r="B18" s="55" t="n">
        <v>0.95</v>
      </c>
    </row>
    <row r="19">
      <c r="A19" s="63" t="inlineStr">
        <is>
          <t>RB</t>
        </is>
      </c>
      <c r="B19" s="55" t="n">
        <v>1.25</v>
      </c>
    </row>
    <row r="20">
      <c r="A20" s="63" t="inlineStr">
        <is>
          <t>WR</t>
        </is>
      </c>
      <c r="B20" s="55" t="n">
        <v>1.2</v>
      </c>
    </row>
    <row r="21">
      <c r="A21" s="63" t="inlineStr">
        <is>
          <t>TE</t>
        </is>
      </c>
      <c r="B21" s="55" t="n">
        <v>1.1</v>
      </c>
    </row>
    <row r="22">
      <c r="A22" s="63" t="inlineStr">
        <is>
          <t>K</t>
        </is>
      </c>
      <c r="B22" s="55" t="n">
        <v>0.85</v>
      </c>
    </row>
    <row r="23">
      <c r="A23" s="63" t="inlineStr">
        <is>
          <t>DEF</t>
        </is>
      </c>
      <c r="B23" s="55" t="n">
        <v>0.85</v>
      </c>
    </row>
    <row r="24"/>
    <row r="25"/>
    <row r="26">
      <c r="A26" s="61" t="inlineStr">
        <is>
          <t>Age Curve Multiplier Table</t>
        </is>
      </c>
    </row>
    <row r="27">
      <c r="A27" s="62" t="inlineStr">
        <is>
          <t>Age Range</t>
        </is>
      </c>
      <c r="B27" s="62" t="inlineStr">
        <is>
          <t>Multiplier</t>
        </is>
      </c>
    </row>
    <row r="28">
      <c r="A28" s="63" t="inlineStr">
        <is>
          <t>≤ 24</t>
        </is>
      </c>
      <c r="B28" s="55" t="n">
        <v>1.15</v>
      </c>
    </row>
    <row r="29">
      <c r="A29" s="63" t="inlineStr">
        <is>
          <t>25 – 27</t>
        </is>
      </c>
      <c r="B29" s="55" t="n">
        <v>1.05</v>
      </c>
    </row>
    <row r="30">
      <c r="A30" s="63" t="inlineStr">
        <is>
          <t>28 – 30</t>
        </is>
      </c>
      <c r="B30" s="55" t="n">
        <v>0.95</v>
      </c>
    </row>
    <row r="31">
      <c r="A31" s="63" t="inlineStr">
        <is>
          <t>≥ 31</t>
        </is>
      </c>
      <c r="B31" s="55" t="n">
        <v>0.85</v>
      </c>
    </row>
  </sheetData>
  <mergeCells count="4">
    <mergeCell ref="A2:F2"/>
    <mergeCell ref="A26:C26"/>
    <mergeCell ref="A1:F1"/>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64"/>
  <sheetViews>
    <sheetView workbookViewId="0">
      <selection activeCell="A1" sqref="A1"/>
    </sheetView>
  </sheetViews>
  <sheetFormatPr baseColWidth="8" defaultRowHeight="15"/>
  <cols>
    <col width="7" customWidth="1" min="1" max="1"/>
    <col width="24" customWidth="1" min="2" max="2"/>
    <col width="10" customWidth="1" min="3" max="3"/>
    <col width="6" customWidth="1" min="4" max="4"/>
    <col width="10" customWidth="1" min="5" max="5"/>
    <col width="12" customWidth="1" min="6" max="6"/>
    <col width="12" customWidth="1" min="7" max="7"/>
    <col width="10" customWidth="1" min="8" max="8"/>
    <col width="10" customWidth="1" min="9" max="9"/>
    <col width="10" customWidth="1" min="10" max="10"/>
    <col width="12" customWidth="1" min="11" max="11"/>
    <col width="10" customWidth="1" min="12" max="12"/>
    <col width="10" customWidth="1" min="13" max="13"/>
    <col width="13" customWidth="1" min="14" max="14"/>
    <col width="10" customWidth="1" min="15" max="15"/>
    <col width="10" customWidth="1" min="16" max="16"/>
    <col width="16" customWidth="1" min="17" max="17"/>
    <col width="18" customWidth="1" min="18" max="18"/>
  </cols>
  <sheetData>
    <row r="1" ht="40" customHeight="1">
      <c r="A1" s="30" t="inlineStr">
        <is>
          <t>Dynamic Trade Chart — Core DTV Engine</t>
        </is>
      </c>
    </row>
    <row r="2" ht="25" customHeight="1">
      <c r="A2" s="45" t="inlineStr">
        <is>
          <t>Final Adjusted Dynamic Trade Values — Computed from Base Values × Weighted Factor Model</t>
        </is>
      </c>
    </row>
    <row r="3" ht="35" customHeight="1">
      <c r="A3" s="64" t="inlineStr">
        <is>
          <t>Rank</t>
        </is>
      </c>
      <c r="B3" s="65" t="inlineStr">
        <is>
          <t>Player Name</t>
        </is>
      </c>
      <c r="C3" s="65" t="inlineStr">
        <is>
          <t>Position</t>
        </is>
      </c>
      <c r="D3" s="65" t="inlineStr">
        <is>
          <t>Age</t>
        </is>
      </c>
      <c r="E3" s="65" t="inlineStr">
        <is>
          <t>Base Value</t>
        </is>
      </c>
      <c r="F3" s="65" t="inlineStr">
        <is>
          <t>Pos Multiplier</t>
        </is>
      </c>
      <c r="G3" s="65" t="inlineStr">
        <is>
          <t>Age Multiplier</t>
        </is>
      </c>
      <c r="H3" s="65" t="inlineStr">
        <is>
          <t>Perf Factor</t>
        </is>
      </c>
      <c r="I3" s="65" t="inlineStr">
        <is>
          <t>Sched Factor</t>
        </is>
      </c>
      <c r="J3" s="65" t="inlineStr">
        <is>
          <t>Injury Factor</t>
        </is>
      </c>
      <c r="K3" s="65" t="inlineStr">
        <is>
          <t>Situation Factor</t>
        </is>
      </c>
      <c r="L3" s="65" t="inlineStr">
        <is>
          <t>Raw DTV</t>
        </is>
      </c>
      <c r="M3" s="65" t="inlineStr">
        <is>
          <t>PPR Boost</t>
        </is>
      </c>
      <c r="N3" s="65" t="inlineStr">
        <is>
          <t>Final Adj DTV</t>
        </is>
      </c>
      <c r="O3" s="65" t="inlineStr">
        <is>
          <t>DTV Tier</t>
        </is>
      </c>
      <c r="P3" s="66" t="inlineStr">
        <is>
          <t>Catch Rate</t>
        </is>
      </c>
      <c r="Q3" s="65" t="inlineStr">
        <is>
          <t>Active Age Curve</t>
        </is>
      </c>
      <c r="R3" s="65" t="inlineStr">
        <is>
          <t>Recent Perf Factor</t>
        </is>
      </c>
    </row>
    <row r="4">
      <c r="A4" s="67" t="n">
        <v>1</v>
      </c>
      <c r="B4" s="68">
        <f>'Base Player Values'!B4</f>
        <v/>
      </c>
      <c r="C4" s="67">
        <f>'Base Player Values'!C4</f>
        <v/>
      </c>
      <c r="D4" s="67">
        <f>'Base Player Values'!E4</f>
        <v/>
      </c>
      <c r="E4" s="69">
        <f>'Base Player Values'!F4</f>
        <v/>
      </c>
      <c r="F4" s="70">
        <f>IFERROR(VLOOKUP(C4,'Dynamic Adjustments'!$A$18:$B$23,2,FALSE),1)</f>
        <v/>
      </c>
      <c r="G4" s="70">
        <f>IF(OR(C4="DEF",C4="K",D4=0),1,IF(D4&lt;=24,'Dynamic Adjustments'!$B$28,IF(D4&lt;=27,'Dynamic Adjustments'!$B$29,IF(D4&lt;=30,'Dynamic Adjustments'!$B$30,'Dynamic Adjustments'!$B$31))))</f>
        <v/>
      </c>
      <c r="H4" s="71" t="n">
        <v>1</v>
      </c>
      <c r="I4" s="71" t="n">
        <v>1</v>
      </c>
      <c r="J4" s="71" t="n">
        <v>1</v>
      </c>
      <c r="K4" s="71" t="n">
        <v>1</v>
      </c>
      <c r="L4" s="72">
        <f>E4*('Dynamic Adjustments'!$B$5*F4+'Dynamic Adjustments'!$B$6*Q4+'Dynamic Adjustments'!$B$7*H4+'Dynamic Adjustments'!$B$8*I4+'Dynamic Adjustments'!$B$9*J4+'Dynamic Adjustments'!$B$10*K4)</f>
        <v/>
      </c>
      <c r="M4" s="73">
        <f>P4*'League Settings'!$B$7</f>
        <v/>
      </c>
      <c r="N4" s="74">
        <f>(L4+M4)*R4</f>
        <v/>
      </c>
      <c r="O4" s="75">
        <f>IF(N4&gt;=85,"Elite",IF(N4&gt;=70,"Star",IF(N4&gt;=55,"Starter",IF(N4&gt;=40,"Flex",IF(N4&gt;=25,"Bench","Waiver")))))</f>
        <v/>
      </c>
      <c r="P4" s="76">
        <f>IF(C4="WR",1,IF(C4="TE",0.8,IF(C4="RB",0.5,0)))</f>
        <v/>
      </c>
      <c r="Q4" s="94">
        <f>IF('League Settings'!$B$19="Redraft",1,IF(OR(C4="DEF",C4="K",D4=0),1,IF(D4&lt;=24,'Dynamic Adjustments'!$B$28,IF(D4&lt;=27,'Dynamic Adjustments'!$B$29,IF(D4&lt;=30,'Dynamic Adjustments'!$B$30,'Dynamic Adjustments'!$B$31)))))</f>
        <v/>
      </c>
      <c r="R4" s="94" t="n">
        <v>1</v>
      </c>
    </row>
    <row r="5">
      <c r="A5" s="67" t="n">
        <v>2</v>
      </c>
      <c r="B5" s="68">
        <f>'Base Player Values'!B5</f>
        <v/>
      </c>
      <c r="C5" s="67">
        <f>'Base Player Values'!C5</f>
        <v/>
      </c>
      <c r="D5" s="67">
        <f>'Base Player Values'!E5</f>
        <v/>
      </c>
      <c r="E5" s="69">
        <f>'Base Player Values'!F5</f>
        <v/>
      </c>
      <c r="F5" s="70">
        <f>IFERROR(VLOOKUP(C5,'Dynamic Adjustments'!$A$18:$B$23,2,FALSE),1)</f>
        <v/>
      </c>
      <c r="G5" s="70">
        <f>IF(OR(C5="DEF",C5="K",D5=0),1,IF(D5&lt;=24,'Dynamic Adjustments'!$B$28,IF(D5&lt;=27,'Dynamic Adjustments'!$B$29,IF(D5&lt;=30,'Dynamic Adjustments'!$B$30,'Dynamic Adjustments'!$B$31))))</f>
        <v/>
      </c>
      <c r="H5" s="71" t="n">
        <v>1</v>
      </c>
      <c r="I5" s="71" t="n">
        <v>1</v>
      </c>
      <c r="J5" s="71" t="n">
        <v>1</v>
      </c>
      <c r="K5" s="71" t="n">
        <v>1</v>
      </c>
      <c r="L5" s="72">
        <f>E5*('Dynamic Adjustments'!$B$5*F5+'Dynamic Adjustments'!$B$6*Q5+'Dynamic Adjustments'!$B$7*H5+'Dynamic Adjustments'!$B$8*I5+'Dynamic Adjustments'!$B$9*J5+'Dynamic Adjustments'!$B$10*K5)</f>
        <v/>
      </c>
      <c r="M5" s="73">
        <f>P5*'League Settings'!$B$7</f>
        <v/>
      </c>
      <c r="N5" s="74">
        <f>(L5+M5)*R5</f>
        <v/>
      </c>
      <c r="O5" s="75">
        <f>IF(N5&gt;=85,"Elite",IF(N5&gt;=70,"Star",IF(N5&gt;=55,"Starter",IF(N5&gt;=40,"Flex",IF(N5&gt;=25,"Bench","Waiver")))))</f>
        <v/>
      </c>
      <c r="P5" s="76">
        <f>IF(C5="WR",1,IF(C5="TE",0.8,IF(C5="RB",0.5,0)))</f>
        <v/>
      </c>
      <c r="Q5" s="94">
        <f>IF('League Settings'!$B$19="Redraft",1,IF(OR(C5="DEF",C5="K",D5=0),1,IF(D5&lt;=24,'Dynamic Adjustments'!$B$28,IF(D5&lt;=27,'Dynamic Adjustments'!$B$29,IF(D5&lt;=30,'Dynamic Adjustments'!$B$30,'Dynamic Adjustments'!$B$31)))))</f>
        <v/>
      </c>
      <c r="R5" s="94" t="n">
        <v>1</v>
      </c>
    </row>
    <row r="6">
      <c r="A6" s="67" t="n">
        <v>3</v>
      </c>
      <c r="B6" s="68">
        <f>'Base Player Values'!B6</f>
        <v/>
      </c>
      <c r="C6" s="67">
        <f>'Base Player Values'!C6</f>
        <v/>
      </c>
      <c r="D6" s="67">
        <f>'Base Player Values'!E6</f>
        <v/>
      </c>
      <c r="E6" s="69">
        <f>'Base Player Values'!F6</f>
        <v/>
      </c>
      <c r="F6" s="70">
        <f>IFERROR(VLOOKUP(C6,'Dynamic Adjustments'!$A$18:$B$23,2,FALSE),1)</f>
        <v/>
      </c>
      <c r="G6" s="70">
        <f>IF(OR(C6="DEF",C6="K",D6=0),1,IF(D6&lt;=24,'Dynamic Adjustments'!$B$28,IF(D6&lt;=27,'Dynamic Adjustments'!$B$29,IF(D6&lt;=30,'Dynamic Adjustments'!$B$30,'Dynamic Adjustments'!$B$31))))</f>
        <v/>
      </c>
      <c r="H6" s="71" t="n">
        <v>1</v>
      </c>
      <c r="I6" s="71" t="n">
        <v>1</v>
      </c>
      <c r="J6" s="71" t="n">
        <v>1</v>
      </c>
      <c r="K6" s="71" t="n">
        <v>1</v>
      </c>
      <c r="L6" s="72">
        <f>E6*('Dynamic Adjustments'!$B$5*F6+'Dynamic Adjustments'!$B$6*Q6+'Dynamic Adjustments'!$B$7*H6+'Dynamic Adjustments'!$B$8*I6+'Dynamic Adjustments'!$B$9*J6+'Dynamic Adjustments'!$B$10*K6)</f>
        <v/>
      </c>
      <c r="M6" s="73">
        <f>P6*'League Settings'!$B$7</f>
        <v/>
      </c>
      <c r="N6" s="74">
        <f>(L6+M6)*R6</f>
        <v/>
      </c>
      <c r="O6" s="75">
        <f>IF(N6&gt;=85,"Elite",IF(N6&gt;=70,"Star",IF(N6&gt;=55,"Starter",IF(N6&gt;=40,"Flex",IF(N6&gt;=25,"Bench","Waiver")))))</f>
        <v/>
      </c>
      <c r="P6" s="76">
        <f>IF(C6="WR",1,IF(C6="TE",0.8,IF(C6="RB",0.5,0)))</f>
        <v/>
      </c>
      <c r="Q6" s="94">
        <f>IF('League Settings'!$B$19="Redraft",1,IF(OR(C6="DEF",C6="K",D6=0),1,IF(D6&lt;=24,'Dynamic Adjustments'!$B$28,IF(D6&lt;=27,'Dynamic Adjustments'!$B$29,IF(D6&lt;=30,'Dynamic Adjustments'!$B$30,'Dynamic Adjustments'!$B$31)))))</f>
        <v/>
      </c>
      <c r="R6" s="94" t="n">
        <v>1</v>
      </c>
    </row>
    <row r="7">
      <c r="A7" s="67" t="n">
        <v>4</v>
      </c>
      <c r="B7" s="68">
        <f>'Base Player Values'!B7</f>
        <v/>
      </c>
      <c r="C7" s="67">
        <f>'Base Player Values'!C7</f>
        <v/>
      </c>
      <c r="D7" s="67">
        <f>'Base Player Values'!E7</f>
        <v/>
      </c>
      <c r="E7" s="69">
        <f>'Base Player Values'!F7</f>
        <v/>
      </c>
      <c r="F7" s="70">
        <f>IFERROR(VLOOKUP(C7,'Dynamic Adjustments'!$A$18:$B$23,2,FALSE),1)</f>
        <v/>
      </c>
      <c r="G7" s="70">
        <f>IF(OR(C7="DEF",C7="K",D7=0),1,IF(D7&lt;=24,'Dynamic Adjustments'!$B$28,IF(D7&lt;=27,'Dynamic Adjustments'!$B$29,IF(D7&lt;=30,'Dynamic Adjustments'!$B$30,'Dynamic Adjustments'!$B$31))))</f>
        <v/>
      </c>
      <c r="H7" s="71" t="n">
        <v>1</v>
      </c>
      <c r="I7" s="71" t="n">
        <v>1</v>
      </c>
      <c r="J7" s="71" t="n">
        <v>1</v>
      </c>
      <c r="K7" s="71" t="n">
        <v>1</v>
      </c>
      <c r="L7" s="72">
        <f>E7*('Dynamic Adjustments'!$B$5*F7+'Dynamic Adjustments'!$B$6*Q7+'Dynamic Adjustments'!$B$7*H7+'Dynamic Adjustments'!$B$8*I7+'Dynamic Adjustments'!$B$9*J7+'Dynamic Adjustments'!$B$10*K7)</f>
        <v/>
      </c>
      <c r="M7" s="73">
        <f>P7*'League Settings'!$B$7</f>
        <v/>
      </c>
      <c r="N7" s="74">
        <f>(L7+M7)*R7</f>
        <v/>
      </c>
      <c r="O7" s="75">
        <f>IF(N7&gt;=85,"Elite",IF(N7&gt;=70,"Star",IF(N7&gt;=55,"Starter",IF(N7&gt;=40,"Flex",IF(N7&gt;=25,"Bench","Waiver")))))</f>
        <v/>
      </c>
      <c r="P7" s="76">
        <f>IF(C7="WR",1,IF(C7="TE",0.8,IF(C7="RB",0.5,0)))</f>
        <v/>
      </c>
      <c r="Q7" s="94">
        <f>IF('League Settings'!$B$19="Redraft",1,IF(OR(C7="DEF",C7="K",D7=0),1,IF(D7&lt;=24,'Dynamic Adjustments'!$B$28,IF(D7&lt;=27,'Dynamic Adjustments'!$B$29,IF(D7&lt;=30,'Dynamic Adjustments'!$B$30,'Dynamic Adjustments'!$B$31)))))</f>
        <v/>
      </c>
      <c r="R7" s="94" t="n">
        <v>1</v>
      </c>
    </row>
    <row r="8">
      <c r="A8" s="67" t="n">
        <v>5</v>
      </c>
      <c r="B8" s="68">
        <f>'Base Player Values'!B8</f>
        <v/>
      </c>
      <c r="C8" s="67">
        <f>'Base Player Values'!C8</f>
        <v/>
      </c>
      <c r="D8" s="67">
        <f>'Base Player Values'!E8</f>
        <v/>
      </c>
      <c r="E8" s="69">
        <f>'Base Player Values'!F8</f>
        <v/>
      </c>
      <c r="F8" s="70">
        <f>IFERROR(VLOOKUP(C8,'Dynamic Adjustments'!$A$18:$B$23,2,FALSE),1)</f>
        <v/>
      </c>
      <c r="G8" s="70">
        <f>IF(OR(C8="DEF",C8="K",D8=0),1,IF(D8&lt;=24,'Dynamic Adjustments'!$B$28,IF(D8&lt;=27,'Dynamic Adjustments'!$B$29,IF(D8&lt;=30,'Dynamic Adjustments'!$B$30,'Dynamic Adjustments'!$B$31))))</f>
        <v/>
      </c>
      <c r="H8" s="71" t="n">
        <v>1</v>
      </c>
      <c r="I8" s="71" t="n">
        <v>1</v>
      </c>
      <c r="J8" s="71" t="n">
        <v>1</v>
      </c>
      <c r="K8" s="71" t="n">
        <v>1</v>
      </c>
      <c r="L8" s="72">
        <f>E8*('Dynamic Adjustments'!$B$5*F8+'Dynamic Adjustments'!$B$6*Q8+'Dynamic Adjustments'!$B$7*H8+'Dynamic Adjustments'!$B$8*I8+'Dynamic Adjustments'!$B$9*J8+'Dynamic Adjustments'!$B$10*K8)</f>
        <v/>
      </c>
      <c r="M8" s="73">
        <f>P8*'League Settings'!$B$7</f>
        <v/>
      </c>
      <c r="N8" s="74">
        <f>(L8+M8)*R8</f>
        <v/>
      </c>
      <c r="O8" s="75">
        <f>IF(N8&gt;=85,"Elite",IF(N8&gt;=70,"Star",IF(N8&gt;=55,"Starter",IF(N8&gt;=40,"Flex",IF(N8&gt;=25,"Bench","Waiver")))))</f>
        <v/>
      </c>
      <c r="P8" s="76">
        <f>IF(C8="WR",1,IF(C8="TE",0.8,IF(C8="RB",0.5,0)))</f>
        <v/>
      </c>
      <c r="Q8" s="94">
        <f>IF('League Settings'!$B$19="Redraft",1,IF(OR(C8="DEF",C8="K",D8=0),1,IF(D8&lt;=24,'Dynamic Adjustments'!$B$28,IF(D8&lt;=27,'Dynamic Adjustments'!$B$29,IF(D8&lt;=30,'Dynamic Adjustments'!$B$30,'Dynamic Adjustments'!$B$31)))))</f>
        <v/>
      </c>
      <c r="R8" s="94" t="n">
        <v>1</v>
      </c>
    </row>
    <row r="9">
      <c r="A9" s="67" t="n">
        <v>6</v>
      </c>
      <c r="B9" s="68">
        <f>'Base Player Values'!B9</f>
        <v/>
      </c>
      <c r="C9" s="67">
        <f>'Base Player Values'!C9</f>
        <v/>
      </c>
      <c r="D9" s="67">
        <f>'Base Player Values'!E9</f>
        <v/>
      </c>
      <c r="E9" s="69">
        <f>'Base Player Values'!F9</f>
        <v/>
      </c>
      <c r="F9" s="70">
        <f>IFERROR(VLOOKUP(C9,'Dynamic Adjustments'!$A$18:$B$23,2,FALSE),1)</f>
        <v/>
      </c>
      <c r="G9" s="70">
        <f>IF(OR(C9="DEF",C9="K",D9=0),1,IF(D9&lt;=24,'Dynamic Adjustments'!$B$28,IF(D9&lt;=27,'Dynamic Adjustments'!$B$29,IF(D9&lt;=30,'Dynamic Adjustments'!$B$30,'Dynamic Adjustments'!$B$31))))</f>
        <v/>
      </c>
      <c r="H9" s="71" t="n">
        <v>1</v>
      </c>
      <c r="I9" s="71" t="n">
        <v>1</v>
      </c>
      <c r="J9" s="71" t="n">
        <v>1</v>
      </c>
      <c r="K9" s="71" t="n">
        <v>1</v>
      </c>
      <c r="L9" s="72">
        <f>E9*('Dynamic Adjustments'!$B$5*F9+'Dynamic Adjustments'!$B$6*Q9+'Dynamic Adjustments'!$B$7*H9+'Dynamic Adjustments'!$B$8*I9+'Dynamic Adjustments'!$B$9*J9+'Dynamic Adjustments'!$B$10*K9)</f>
        <v/>
      </c>
      <c r="M9" s="73">
        <f>P9*'League Settings'!$B$7</f>
        <v/>
      </c>
      <c r="N9" s="74">
        <f>(L9+M9)*R9</f>
        <v/>
      </c>
      <c r="O9" s="75">
        <f>IF(N9&gt;=85,"Elite",IF(N9&gt;=70,"Star",IF(N9&gt;=55,"Starter",IF(N9&gt;=40,"Flex",IF(N9&gt;=25,"Bench","Waiver")))))</f>
        <v/>
      </c>
      <c r="P9" s="76">
        <f>IF(C9="WR",1,IF(C9="TE",0.8,IF(C9="RB",0.5,0)))</f>
        <v/>
      </c>
      <c r="Q9" s="94">
        <f>IF('League Settings'!$B$19="Redraft",1,IF(OR(C9="DEF",C9="K",D9=0),1,IF(D9&lt;=24,'Dynamic Adjustments'!$B$28,IF(D9&lt;=27,'Dynamic Adjustments'!$B$29,IF(D9&lt;=30,'Dynamic Adjustments'!$B$30,'Dynamic Adjustments'!$B$31)))))</f>
        <v/>
      </c>
      <c r="R9" s="94" t="n">
        <v>1</v>
      </c>
    </row>
    <row r="10">
      <c r="A10" s="67" t="n">
        <v>7</v>
      </c>
      <c r="B10" s="68">
        <f>'Base Player Values'!B10</f>
        <v/>
      </c>
      <c r="C10" s="67">
        <f>'Base Player Values'!C10</f>
        <v/>
      </c>
      <c r="D10" s="67">
        <f>'Base Player Values'!E10</f>
        <v/>
      </c>
      <c r="E10" s="69">
        <f>'Base Player Values'!F10</f>
        <v/>
      </c>
      <c r="F10" s="70">
        <f>IFERROR(VLOOKUP(C10,'Dynamic Adjustments'!$A$18:$B$23,2,FALSE),1)</f>
        <v/>
      </c>
      <c r="G10" s="70">
        <f>IF(OR(C10="DEF",C10="K",D10=0),1,IF(D10&lt;=24,'Dynamic Adjustments'!$B$28,IF(D10&lt;=27,'Dynamic Adjustments'!$B$29,IF(D10&lt;=30,'Dynamic Adjustments'!$B$30,'Dynamic Adjustments'!$B$31))))</f>
        <v/>
      </c>
      <c r="H10" s="71" t="n">
        <v>1</v>
      </c>
      <c r="I10" s="71" t="n">
        <v>1</v>
      </c>
      <c r="J10" s="71" t="n">
        <v>1</v>
      </c>
      <c r="K10" s="71" t="n">
        <v>1</v>
      </c>
      <c r="L10" s="72">
        <f>E10*('Dynamic Adjustments'!$B$5*F10+'Dynamic Adjustments'!$B$6*Q10+'Dynamic Adjustments'!$B$7*H10+'Dynamic Adjustments'!$B$8*I10+'Dynamic Adjustments'!$B$9*J10+'Dynamic Adjustments'!$B$10*K10)</f>
        <v/>
      </c>
      <c r="M10" s="73">
        <f>P10*'League Settings'!$B$7</f>
        <v/>
      </c>
      <c r="N10" s="74">
        <f>(L10+M10)*R10</f>
        <v/>
      </c>
      <c r="O10" s="75">
        <f>IF(N10&gt;=85,"Elite",IF(N10&gt;=70,"Star",IF(N10&gt;=55,"Starter",IF(N10&gt;=40,"Flex",IF(N10&gt;=25,"Bench","Waiver")))))</f>
        <v/>
      </c>
      <c r="P10" s="76">
        <f>IF(C10="WR",1,IF(C10="TE",0.8,IF(C10="RB",0.5,0)))</f>
        <v/>
      </c>
      <c r="Q10" s="94">
        <f>IF('League Settings'!$B$19="Redraft",1,IF(OR(C10="DEF",C10="K",D10=0),1,IF(D10&lt;=24,'Dynamic Adjustments'!$B$28,IF(D10&lt;=27,'Dynamic Adjustments'!$B$29,IF(D10&lt;=30,'Dynamic Adjustments'!$B$30,'Dynamic Adjustments'!$B$31)))))</f>
        <v/>
      </c>
      <c r="R10" s="94" t="n">
        <v>1</v>
      </c>
    </row>
    <row r="11">
      <c r="A11" s="67" t="n">
        <v>8</v>
      </c>
      <c r="B11" s="68">
        <f>'Base Player Values'!B11</f>
        <v/>
      </c>
      <c r="C11" s="67">
        <f>'Base Player Values'!C11</f>
        <v/>
      </c>
      <c r="D11" s="67">
        <f>'Base Player Values'!E11</f>
        <v/>
      </c>
      <c r="E11" s="69">
        <f>'Base Player Values'!F11</f>
        <v/>
      </c>
      <c r="F11" s="70">
        <f>IFERROR(VLOOKUP(C11,'Dynamic Adjustments'!$A$18:$B$23,2,FALSE),1)</f>
        <v/>
      </c>
      <c r="G11" s="70">
        <f>IF(OR(C11="DEF",C11="K",D11=0),1,IF(D11&lt;=24,'Dynamic Adjustments'!$B$28,IF(D11&lt;=27,'Dynamic Adjustments'!$B$29,IF(D11&lt;=30,'Dynamic Adjustments'!$B$30,'Dynamic Adjustments'!$B$31))))</f>
        <v/>
      </c>
      <c r="H11" s="71" t="n">
        <v>1</v>
      </c>
      <c r="I11" s="71" t="n">
        <v>1</v>
      </c>
      <c r="J11" s="71" t="n">
        <v>1</v>
      </c>
      <c r="K11" s="71" t="n">
        <v>1</v>
      </c>
      <c r="L11" s="72">
        <f>E11*('Dynamic Adjustments'!$B$5*F11+'Dynamic Adjustments'!$B$6*Q11+'Dynamic Adjustments'!$B$7*H11+'Dynamic Adjustments'!$B$8*I11+'Dynamic Adjustments'!$B$9*J11+'Dynamic Adjustments'!$B$10*K11)</f>
        <v/>
      </c>
      <c r="M11" s="73">
        <f>P11*'League Settings'!$B$7</f>
        <v/>
      </c>
      <c r="N11" s="74">
        <f>(L11+M11)*R11</f>
        <v/>
      </c>
      <c r="O11" s="75">
        <f>IF(N11&gt;=85,"Elite",IF(N11&gt;=70,"Star",IF(N11&gt;=55,"Starter",IF(N11&gt;=40,"Flex",IF(N11&gt;=25,"Bench","Waiver")))))</f>
        <v/>
      </c>
      <c r="P11" s="76">
        <f>IF(C11="WR",1,IF(C11="TE",0.8,IF(C11="RB",0.5,0)))</f>
        <v/>
      </c>
      <c r="Q11" s="94">
        <f>IF('League Settings'!$B$19="Redraft",1,IF(OR(C11="DEF",C11="K",D11=0),1,IF(D11&lt;=24,'Dynamic Adjustments'!$B$28,IF(D11&lt;=27,'Dynamic Adjustments'!$B$29,IF(D11&lt;=30,'Dynamic Adjustments'!$B$30,'Dynamic Adjustments'!$B$31)))))</f>
        <v/>
      </c>
      <c r="R11" s="94" t="n">
        <v>1</v>
      </c>
    </row>
    <row r="12">
      <c r="A12" s="67" t="n">
        <v>9</v>
      </c>
      <c r="B12" s="68">
        <f>'Base Player Values'!B12</f>
        <v/>
      </c>
      <c r="C12" s="67">
        <f>'Base Player Values'!C12</f>
        <v/>
      </c>
      <c r="D12" s="67">
        <f>'Base Player Values'!E12</f>
        <v/>
      </c>
      <c r="E12" s="69">
        <f>'Base Player Values'!F12</f>
        <v/>
      </c>
      <c r="F12" s="70">
        <f>IFERROR(VLOOKUP(C12,'Dynamic Adjustments'!$A$18:$B$23,2,FALSE),1)</f>
        <v/>
      </c>
      <c r="G12" s="70">
        <f>IF(OR(C12="DEF",C12="K",D12=0),1,IF(D12&lt;=24,'Dynamic Adjustments'!$B$28,IF(D12&lt;=27,'Dynamic Adjustments'!$B$29,IF(D12&lt;=30,'Dynamic Adjustments'!$B$30,'Dynamic Adjustments'!$B$31))))</f>
        <v/>
      </c>
      <c r="H12" s="71" t="n">
        <v>1</v>
      </c>
      <c r="I12" s="71" t="n">
        <v>1</v>
      </c>
      <c r="J12" s="71" t="n">
        <v>1</v>
      </c>
      <c r="K12" s="71" t="n">
        <v>1</v>
      </c>
      <c r="L12" s="72">
        <f>E12*('Dynamic Adjustments'!$B$5*F12+'Dynamic Adjustments'!$B$6*Q12+'Dynamic Adjustments'!$B$7*H12+'Dynamic Adjustments'!$B$8*I12+'Dynamic Adjustments'!$B$9*J12+'Dynamic Adjustments'!$B$10*K12)</f>
        <v/>
      </c>
      <c r="M12" s="73">
        <f>P12*'League Settings'!$B$7</f>
        <v/>
      </c>
      <c r="N12" s="74">
        <f>(L12+M12)*R12</f>
        <v/>
      </c>
      <c r="O12" s="75">
        <f>IF(N12&gt;=85,"Elite",IF(N12&gt;=70,"Star",IF(N12&gt;=55,"Starter",IF(N12&gt;=40,"Flex",IF(N12&gt;=25,"Bench","Waiver")))))</f>
        <v/>
      </c>
      <c r="P12" s="76">
        <f>IF(C12="WR",1,IF(C12="TE",0.8,IF(C12="RB",0.5,0)))</f>
        <v/>
      </c>
      <c r="Q12" s="94">
        <f>IF('League Settings'!$B$19="Redraft",1,IF(OR(C12="DEF",C12="K",D12=0),1,IF(D12&lt;=24,'Dynamic Adjustments'!$B$28,IF(D12&lt;=27,'Dynamic Adjustments'!$B$29,IF(D12&lt;=30,'Dynamic Adjustments'!$B$30,'Dynamic Adjustments'!$B$31)))))</f>
        <v/>
      </c>
      <c r="R12" s="94" t="n">
        <v>1</v>
      </c>
    </row>
    <row r="13">
      <c r="A13" s="67" t="n">
        <v>10</v>
      </c>
      <c r="B13" s="68">
        <f>'Base Player Values'!B13</f>
        <v/>
      </c>
      <c r="C13" s="67">
        <f>'Base Player Values'!C13</f>
        <v/>
      </c>
      <c r="D13" s="67">
        <f>'Base Player Values'!E13</f>
        <v/>
      </c>
      <c r="E13" s="69">
        <f>'Base Player Values'!F13</f>
        <v/>
      </c>
      <c r="F13" s="70">
        <f>IFERROR(VLOOKUP(C13,'Dynamic Adjustments'!$A$18:$B$23,2,FALSE),1)</f>
        <v/>
      </c>
      <c r="G13" s="70">
        <f>IF(OR(C13="DEF",C13="K",D13=0),1,IF(D13&lt;=24,'Dynamic Adjustments'!$B$28,IF(D13&lt;=27,'Dynamic Adjustments'!$B$29,IF(D13&lt;=30,'Dynamic Adjustments'!$B$30,'Dynamic Adjustments'!$B$31))))</f>
        <v/>
      </c>
      <c r="H13" s="71" t="n">
        <v>1</v>
      </c>
      <c r="I13" s="71" t="n">
        <v>1</v>
      </c>
      <c r="J13" s="71" t="n">
        <v>1</v>
      </c>
      <c r="K13" s="71" t="n">
        <v>1</v>
      </c>
      <c r="L13" s="72">
        <f>E13*('Dynamic Adjustments'!$B$5*F13+'Dynamic Adjustments'!$B$6*Q13+'Dynamic Adjustments'!$B$7*H13+'Dynamic Adjustments'!$B$8*I13+'Dynamic Adjustments'!$B$9*J13+'Dynamic Adjustments'!$B$10*K13)</f>
        <v/>
      </c>
      <c r="M13" s="73">
        <f>P13*'League Settings'!$B$7</f>
        <v/>
      </c>
      <c r="N13" s="74">
        <f>(L13+M13)*R13</f>
        <v/>
      </c>
      <c r="O13" s="75">
        <f>IF(N13&gt;=85,"Elite",IF(N13&gt;=70,"Star",IF(N13&gt;=55,"Starter",IF(N13&gt;=40,"Flex",IF(N13&gt;=25,"Bench","Waiver")))))</f>
        <v/>
      </c>
      <c r="P13" s="76">
        <f>IF(C13="WR",1,IF(C13="TE",0.8,IF(C13="RB",0.5,0)))</f>
        <v/>
      </c>
      <c r="Q13" s="94">
        <f>IF('League Settings'!$B$19="Redraft",1,IF(OR(C13="DEF",C13="K",D13=0),1,IF(D13&lt;=24,'Dynamic Adjustments'!$B$28,IF(D13&lt;=27,'Dynamic Adjustments'!$B$29,IF(D13&lt;=30,'Dynamic Adjustments'!$B$30,'Dynamic Adjustments'!$B$31)))))</f>
        <v/>
      </c>
      <c r="R13" s="94" t="n">
        <v>1</v>
      </c>
    </row>
    <row r="14">
      <c r="A14" s="67" t="n">
        <v>11</v>
      </c>
      <c r="B14" s="68">
        <f>'Base Player Values'!B14</f>
        <v/>
      </c>
      <c r="C14" s="67">
        <f>'Base Player Values'!C14</f>
        <v/>
      </c>
      <c r="D14" s="67">
        <f>'Base Player Values'!E14</f>
        <v/>
      </c>
      <c r="E14" s="69">
        <f>'Base Player Values'!F14</f>
        <v/>
      </c>
      <c r="F14" s="70">
        <f>IFERROR(VLOOKUP(C14,'Dynamic Adjustments'!$A$18:$B$23,2,FALSE),1)</f>
        <v/>
      </c>
      <c r="G14" s="70">
        <f>IF(OR(C14="DEF",C14="K",D14=0),1,IF(D14&lt;=24,'Dynamic Adjustments'!$B$28,IF(D14&lt;=27,'Dynamic Adjustments'!$B$29,IF(D14&lt;=30,'Dynamic Adjustments'!$B$30,'Dynamic Adjustments'!$B$31))))</f>
        <v/>
      </c>
      <c r="H14" s="71" t="n">
        <v>1</v>
      </c>
      <c r="I14" s="71" t="n">
        <v>1</v>
      </c>
      <c r="J14" s="71" t="n">
        <v>1</v>
      </c>
      <c r="K14" s="71" t="n">
        <v>1</v>
      </c>
      <c r="L14" s="72">
        <f>E14*('Dynamic Adjustments'!$B$5*F14+'Dynamic Adjustments'!$B$6*Q14+'Dynamic Adjustments'!$B$7*H14+'Dynamic Adjustments'!$B$8*I14+'Dynamic Adjustments'!$B$9*J14+'Dynamic Adjustments'!$B$10*K14)</f>
        <v/>
      </c>
      <c r="M14" s="73">
        <f>P14*'League Settings'!$B$7</f>
        <v/>
      </c>
      <c r="N14" s="74">
        <f>(L14+M14)*R14</f>
        <v/>
      </c>
      <c r="O14" s="75">
        <f>IF(N14&gt;=85,"Elite",IF(N14&gt;=70,"Star",IF(N14&gt;=55,"Starter",IF(N14&gt;=40,"Flex",IF(N14&gt;=25,"Bench","Waiver")))))</f>
        <v/>
      </c>
      <c r="P14" s="76">
        <f>IF(C14="WR",1,IF(C14="TE",0.8,IF(C14="RB",0.5,0)))</f>
        <v/>
      </c>
      <c r="Q14" s="94">
        <f>IF('League Settings'!$B$19="Redraft",1,IF(OR(C14="DEF",C14="K",D14=0),1,IF(D14&lt;=24,'Dynamic Adjustments'!$B$28,IF(D14&lt;=27,'Dynamic Adjustments'!$B$29,IF(D14&lt;=30,'Dynamic Adjustments'!$B$30,'Dynamic Adjustments'!$B$31)))))</f>
        <v/>
      </c>
      <c r="R14" s="94" t="n">
        <v>1</v>
      </c>
    </row>
    <row r="15">
      <c r="A15" s="67" t="n">
        <v>12</v>
      </c>
      <c r="B15" s="68">
        <f>'Base Player Values'!B15</f>
        <v/>
      </c>
      <c r="C15" s="67">
        <f>'Base Player Values'!C15</f>
        <v/>
      </c>
      <c r="D15" s="67">
        <f>'Base Player Values'!E15</f>
        <v/>
      </c>
      <c r="E15" s="69">
        <f>'Base Player Values'!F15</f>
        <v/>
      </c>
      <c r="F15" s="70">
        <f>IFERROR(VLOOKUP(C15,'Dynamic Adjustments'!$A$18:$B$23,2,FALSE),1)</f>
        <v/>
      </c>
      <c r="G15" s="70">
        <f>IF(OR(C15="DEF",C15="K",D15=0),1,IF(D15&lt;=24,'Dynamic Adjustments'!$B$28,IF(D15&lt;=27,'Dynamic Adjustments'!$B$29,IF(D15&lt;=30,'Dynamic Adjustments'!$B$30,'Dynamic Adjustments'!$B$31))))</f>
        <v/>
      </c>
      <c r="H15" s="71" t="n">
        <v>1</v>
      </c>
      <c r="I15" s="71" t="n">
        <v>1</v>
      </c>
      <c r="J15" s="71" t="n">
        <v>1</v>
      </c>
      <c r="K15" s="71" t="n">
        <v>1</v>
      </c>
      <c r="L15" s="72">
        <f>E15*('Dynamic Adjustments'!$B$5*F15+'Dynamic Adjustments'!$B$6*Q15+'Dynamic Adjustments'!$B$7*H15+'Dynamic Adjustments'!$B$8*I15+'Dynamic Adjustments'!$B$9*J15+'Dynamic Adjustments'!$B$10*K15)</f>
        <v/>
      </c>
      <c r="M15" s="73">
        <f>P15*'League Settings'!$B$7</f>
        <v/>
      </c>
      <c r="N15" s="74">
        <f>(L15+M15)*R15</f>
        <v/>
      </c>
      <c r="O15" s="75">
        <f>IF(N15&gt;=85,"Elite",IF(N15&gt;=70,"Star",IF(N15&gt;=55,"Starter",IF(N15&gt;=40,"Flex",IF(N15&gt;=25,"Bench","Waiver")))))</f>
        <v/>
      </c>
      <c r="P15" s="76">
        <f>IF(C15="WR",1,IF(C15="TE",0.8,IF(C15="RB",0.5,0)))</f>
        <v/>
      </c>
      <c r="Q15" s="94">
        <f>IF('League Settings'!$B$19="Redraft",1,IF(OR(C15="DEF",C15="K",D15=0),1,IF(D15&lt;=24,'Dynamic Adjustments'!$B$28,IF(D15&lt;=27,'Dynamic Adjustments'!$B$29,IF(D15&lt;=30,'Dynamic Adjustments'!$B$30,'Dynamic Adjustments'!$B$31)))))</f>
        <v/>
      </c>
      <c r="R15" s="94" t="n">
        <v>1</v>
      </c>
    </row>
    <row r="16">
      <c r="A16" s="67" t="n">
        <v>13</v>
      </c>
      <c r="B16" s="68">
        <f>'Base Player Values'!B16</f>
        <v/>
      </c>
      <c r="C16" s="67">
        <f>'Base Player Values'!C16</f>
        <v/>
      </c>
      <c r="D16" s="67">
        <f>'Base Player Values'!E16</f>
        <v/>
      </c>
      <c r="E16" s="69">
        <f>'Base Player Values'!F16</f>
        <v/>
      </c>
      <c r="F16" s="70">
        <f>IFERROR(VLOOKUP(C16,'Dynamic Adjustments'!$A$18:$B$23,2,FALSE),1)</f>
        <v/>
      </c>
      <c r="G16" s="70">
        <f>IF(OR(C16="DEF",C16="K",D16=0),1,IF(D16&lt;=24,'Dynamic Adjustments'!$B$28,IF(D16&lt;=27,'Dynamic Adjustments'!$B$29,IF(D16&lt;=30,'Dynamic Adjustments'!$B$30,'Dynamic Adjustments'!$B$31))))</f>
        <v/>
      </c>
      <c r="H16" s="71" t="n">
        <v>1</v>
      </c>
      <c r="I16" s="71" t="n">
        <v>1</v>
      </c>
      <c r="J16" s="71" t="n">
        <v>1</v>
      </c>
      <c r="K16" s="71" t="n">
        <v>1</v>
      </c>
      <c r="L16" s="72">
        <f>E16*('Dynamic Adjustments'!$B$5*F16+'Dynamic Adjustments'!$B$6*Q16+'Dynamic Adjustments'!$B$7*H16+'Dynamic Adjustments'!$B$8*I16+'Dynamic Adjustments'!$B$9*J16+'Dynamic Adjustments'!$B$10*K16)</f>
        <v/>
      </c>
      <c r="M16" s="73">
        <f>P16*'League Settings'!$B$7</f>
        <v/>
      </c>
      <c r="N16" s="74">
        <f>(L16+M16)*R16</f>
        <v/>
      </c>
      <c r="O16" s="75">
        <f>IF(N16&gt;=85,"Elite",IF(N16&gt;=70,"Star",IF(N16&gt;=55,"Starter",IF(N16&gt;=40,"Flex",IF(N16&gt;=25,"Bench","Waiver")))))</f>
        <v/>
      </c>
      <c r="P16" s="76">
        <f>IF(C16="WR",1,IF(C16="TE",0.8,IF(C16="RB",0.5,0)))</f>
        <v/>
      </c>
      <c r="Q16" s="94">
        <f>IF('League Settings'!$B$19="Redraft",1,IF(OR(C16="DEF",C16="K",D16=0),1,IF(D16&lt;=24,'Dynamic Adjustments'!$B$28,IF(D16&lt;=27,'Dynamic Adjustments'!$B$29,IF(D16&lt;=30,'Dynamic Adjustments'!$B$30,'Dynamic Adjustments'!$B$31)))))</f>
        <v/>
      </c>
      <c r="R16" s="94" t="n">
        <v>1</v>
      </c>
    </row>
    <row r="17">
      <c r="A17" s="67" t="n">
        <v>14</v>
      </c>
      <c r="B17" s="68">
        <f>'Base Player Values'!B17</f>
        <v/>
      </c>
      <c r="C17" s="67">
        <f>'Base Player Values'!C17</f>
        <v/>
      </c>
      <c r="D17" s="67">
        <f>'Base Player Values'!E17</f>
        <v/>
      </c>
      <c r="E17" s="69">
        <f>'Base Player Values'!F17</f>
        <v/>
      </c>
      <c r="F17" s="70">
        <f>IFERROR(VLOOKUP(C17,'Dynamic Adjustments'!$A$18:$B$23,2,FALSE),1)</f>
        <v/>
      </c>
      <c r="G17" s="70">
        <f>IF(OR(C17="DEF",C17="K",D17=0),1,IF(D17&lt;=24,'Dynamic Adjustments'!$B$28,IF(D17&lt;=27,'Dynamic Adjustments'!$B$29,IF(D17&lt;=30,'Dynamic Adjustments'!$B$30,'Dynamic Adjustments'!$B$31))))</f>
        <v/>
      </c>
      <c r="H17" s="71" t="n">
        <v>1</v>
      </c>
      <c r="I17" s="71" t="n">
        <v>1</v>
      </c>
      <c r="J17" s="71" t="n">
        <v>1</v>
      </c>
      <c r="K17" s="71" t="n">
        <v>1</v>
      </c>
      <c r="L17" s="72">
        <f>E17*('Dynamic Adjustments'!$B$5*F17+'Dynamic Adjustments'!$B$6*Q17+'Dynamic Adjustments'!$B$7*H17+'Dynamic Adjustments'!$B$8*I17+'Dynamic Adjustments'!$B$9*J17+'Dynamic Adjustments'!$B$10*K17)</f>
        <v/>
      </c>
      <c r="M17" s="73">
        <f>P17*'League Settings'!$B$7</f>
        <v/>
      </c>
      <c r="N17" s="74">
        <f>(L17+M17)*R17</f>
        <v/>
      </c>
      <c r="O17" s="75">
        <f>IF(N17&gt;=85,"Elite",IF(N17&gt;=70,"Star",IF(N17&gt;=55,"Starter",IF(N17&gt;=40,"Flex",IF(N17&gt;=25,"Bench","Waiver")))))</f>
        <v/>
      </c>
      <c r="P17" s="76">
        <f>IF(C17="WR",1,IF(C17="TE",0.8,IF(C17="RB",0.5,0)))</f>
        <v/>
      </c>
      <c r="Q17" s="94">
        <f>IF('League Settings'!$B$19="Redraft",1,IF(OR(C17="DEF",C17="K",D17=0),1,IF(D17&lt;=24,'Dynamic Adjustments'!$B$28,IF(D17&lt;=27,'Dynamic Adjustments'!$B$29,IF(D17&lt;=30,'Dynamic Adjustments'!$B$30,'Dynamic Adjustments'!$B$31)))))</f>
        <v/>
      </c>
      <c r="R17" s="94" t="n">
        <v>1</v>
      </c>
    </row>
    <row r="18">
      <c r="A18" s="67" t="n">
        <v>15</v>
      </c>
      <c r="B18" s="68">
        <f>'Base Player Values'!B18</f>
        <v/>
      </c>
      <c r="C18" s="67">
        <f>'Base Player Values'!C18</f>
        <v/>
      </c>
      <c r="D18" s="67">
        <f>'Base Player Values'!E18</f>
        <v/>
      </c>
      <c r="E18" s="69">
        <f>'Base Player Values'!F18</f>
        <v/>
      </c>
      <c r="F18" s="70">
        <f>IFERROR(VLOOKUP(C18,'Dynamic Adjustments'!$A$18:$B$23,2,FALSE),1)</f>
        <v/>
      </c>
      <c r="G18" s="70">
        <f>IF(OR(C18="DEF",C18="K",D18=0),1,IF(D18&lt;=24,'Dynamic Adjustments'!$B$28,IF(D18&lt;=27,'Dynamic Adjustments'!$B$29,IF(D18&lt;=30,'Dynamic Adjustments'!$B$30,'Dynamic Adjustments'!$B$31))))</f>
        <v/>
      </c>
      <c r="H18" s="71" t="n">
        <v>1</v>
      </c>
      <c r="I18" s="71" t="n">
        <v>1</v>
      </c>
      <c r="J18" s="71" t="n">
        <v>1</v>
      </c>
      <c r="K18" s="71" t="n">
        <v>1</v>
      </c>
      <c r="L18" s="72">
        <f>E18*('Dynamic Adjustments'!$B$5*F18+'Dynamic Adjustments'!$B$6*Q18+'Dynamic Adjustments'!$B$7*H18+'Dynamic Adjustments'!$B$8*I18+'Dynamic Adjustments'!$B$9*J18+'Dynamic Adjustments'!$B$10*K18)</f>
        <v/>
      </c>
      <c r="M18" s="73">
        <f>P18*'League Settings'!$B$7</f>
        <v/>
      </c>
      <c r="N18" s="74">
        <f>(L18+M18)*R18</f>
        <v/>
      </c>
      <c r="O18" s="75">
        <f>IF(N18&gt;=85,"Elite",IF(N18&gt;=70,"Star",IF(N18&gt;=55,"Starter",IF(N18&gt;=40,"Flex",IF(N18&gt;=25,"Bench","Waiver")))))</f>
        <v/>
      </c>
      <c r="P18" s="76">
        <f>IF(C18="WR",1,IF(C18="TE",0.8,IF(C18="RB",0.5,0)))</f>
        <v/>
      </c>
      <c r="Q18" s="94">
        <f>IF('League Settings'!$B$19="Redraft",1,IF(OR(C18="DEF",C18="K",D18=0),1,IF(D18&lt;=24,'Dynamic Adjustments'!$B$28,IF(D18&lt;=27,'Dynamic Adjustments'!$B$29,IF(D18&lt;=30,'Dynamic Adjustments'!$B$30,'Dynamic Adjustments'!$B$31)))))</f>
        <v/>
      </c>
      <c r="R18" s="94" t="n">
        <v>1</v>
      </c>
    </row>
    <row r="19">
      <c r="A19" s="67" t="n">
        <v>16</v>
      </c>
      <c r="B19" s="68">
        <f>'Base Player Values'!B19</f>
        <v/>
      </c>
      <c r="C19" s="67">
        <f>'Base Player Values'!C19</f>
        <v/>
      </c>
      <c r="D19" s="67">
        <f>'Base Player Values'!E19</f>
        <v/>
      </c>
      <c r="E19" s="69">
        <f>'Base Player Values'!F19</f>
        <v/>
      </c>
      <c r="F19" s="70">
        <f>IFERROR(VLOOKUP(C19,'Dynamic Adjustments'!$A$18:$B$23,2,FALSE),1)</f>
        <v/>
      </c>
      <c r="G19" s="70">
        <f>IF(OR(C19="DEF",C19="K",D19=0),1,IF(D19&lt;=24,'Dynamic Adjustments'!$B$28,IF(D19&lt;=27,'Dynamic Adjustments'!$B$29,IF(D19&lt;=30,'Dynamic Adjustments'!$B$30,'Dynamic Adjustments'!$B$31))))</f>
        <v/>
      </c>
      <c r="H19" s="71" t="n">
        <v>1</v>
      </c>
      <c r="I19" s="71" t="n">
        <v>1</v>
      </c>
      <c r="J19" s="71" t="n">
        <v>1</v>
      </c>
      <c r="K19" s="71" t="n">
        <v>1</v>
      </c>
      <c r="L19" s="72">
        <f>E19*('Dynamic Adjustments'!$B$5*F19+'Dynamic Adjustments'!$B$6*Q19+'Dynamic Adjustments'!$B$7*H19+'Dynamic Adjustments'!$B$8*I19+'Dynamic Adjustments'!$B$9*J19+'Dynamic Adjustments'!$B$10*K19)</f>
        <v/>
      </c>
      <c r="M19" s="73">
        <f>P19*'League Settings'!$B$7</f>
        <v/>
      </c>
      <c r="N19" s="74">
        <f>(L19+M19)*R19</f>
        <v/>
      </c>
      <c r="O19" s="75">
        <f>IF(N19&gt;=85,"Elite",IF(N19&gt;=70,"Star",IF(N19&gt;=55,"Starter",IF(N19&gt;=40,"Flex",IF(N19&gt;=25,"Bench","Waiver")))))</f>
        <v/>
      </c>
      <c r="P19" s="76">
        <f>IF(C19="WR",1,IF(C19="TE",0.8,IF(C19="RB",0.5,0)))</f>
        <v/>
      </c>
      <c r="Q19" s="94">
        <f>IF('League Settings'!$B$19="Redraft",1,IF(OR(C19="DEF",C19="K",D19=0),1,IF(D19&lt;=24,'Dynamic Adjustments'!$B$28,IF(D19&lt;=27,'Dynamic Adjustments'!$B$29,IF(D19&lt;=30,'Dynamic Adjustments'!$B$30,'Dynamic Adjustments'!$B$31)))))</f>
        <v/>
      </c>
      <c r="R19" s="94" t="n">
        <v>1</v>
      </c>
    </row>
    <row r="20">
      <c r="A20" s="67" t="n">
        <v>17</v>
      </c>
      <c r="B20" s="68">
        <f>'Base Player Values'!B20</f>
        <v/>
      </c>
      <c r="C20" s="67">
        <f>'Base Player Values'!C20</f>
        <v/>
      </c>
      <c r="D20" s="67">
        <f>'Base Player Values'!E20</f>
        <v/>
      </c>
      <c r="E20" s="69">
        <f>'Base Player Values'!F20</f>
        <v/>
      </c>
      <c r="F20" s="70">
        <f>IFERROR(VLOOKUP(C20,'Dynamic Adjustments'!$A$18:$B$23,2,FALSE),1)</f>
        <v/>
      </c>
      <c r="G20" s="70">
        <f>IF(OR(C20="DEF",C20="K",D20=0),1,IF(D20&lt;=24,'Dynamic Adjustments'!$B$28,IF(D20&lt;=27,'Dynamic Adjustments'!$B$29,IF(D20&lt;=30,'Dynamic Adjustments'!$B$30,'Dynamic Adjustments'!$B$31))))</f>
        <v/>
      </c>
      <c r="H20" s="71" t="n">
        <v>1</v>
      </c>
      <c r="I20" s="71" t="n">
        <v>1</v>
      </c>
      <c r="J20" s="71" t="n">
        <v>1</v>
      </c>
      <c r="K20" s="71" t="n">
        <v>1</v>
      </c>
      <c r="L20" s="72">
        <f>E20*('Dynamic Adjustments'!$B$5*F20+'Dynamic Adjustments'!$B$6*Q20+'Dynamic Adjustments'!$B$7*H20+'Dynamic Adjustments'!$B$8*I20+'Dynamic Adjustments'!$B$9*J20+'Dynamic Adjustments'!$B$10*K20)</f>
        <v/>
      </c>
      <c r="M20" s="73">
        <f>P20*'League Settings'!$B$7</f>
        <v/>
      </c>
      <c r="N20" s="74">
        <f>(L20+M20)*R20</f>
        <v/>
      </c>
      <c r="O20" s="75">
        <f>IF(N20&gt;=85,"Elite",IF(N20&gt;=70,"Star",IF(N20&gt;=55,"Starter",IF(N20&gt;=40,"Flex",IF(N20&gt;=25,"Bench","Waiver")))))</f>
        <v/>
      </c>
      <c r="P20" s="76">
        <f>IF(C20="WR",1,IF(C20="TE",0.8,IF(C20="RB",0.5,0)))</f>
        <v/>
      </c>
      <c r="Q20" s="94">
        <f>IF('League Settings'!$B$19="Redraft",1,IF(OR(C20="DEF",C20="K",D20=0),1,IF(D20&lt;=24,'Dynamic Adjustments'!$B$28,IF(D20&lt;=27,'Dynamic Adjustments'!$B$29,IF(D20&lt;=30,'Dynamic Adjustments'!$B$30,'Dynamic Adjustments'!$B$31)))))</f>
        <v/>
      </c>
      <c r="R20" s="94" t="n">
        <v>1</v>
      </c>
    </row>
    <row r="21">
      <c r="A21" s="67" t="n">
        <v>18</v>
      </c>
      <c r="B21" s="68">
        <f>'Base Player Values'!B21</f>
        <v/>
      </c>
      <c r="C21" s="67">
        <f>'Base Player Values'!C21</f>
        <v/>
      </c>
      <c r="D21" s="67">
        <f>'Base Player Values'!E21</f>
        <v/>
      </c>
      <c r="E21" s="69">
        <f>'Base Player Values'!F21</f>
        <v/>
      </c>
      <c r="F21" s="70">
        <f>IFERROR(VLOOKUP(C21,'Dynamic Adjustments'!$A$18:$B$23,2,FALSE),1)</f>
        <v/>
      </c>
      <c r="G21" s="70">
        <f>IF(OR(C21="DEF",C21="K",D21=0),1,IF(D21&lt;=24,'Dynamic Adjustments'!$B$28,IF(D21&lt;=27,'Dynamic Adjustments'!$B$29,IF(D21&lt;=30,'Dynamic Adjustments'!$B$30,'Dynamic Adjustments'!$B$31))))</f>
        <v/>
      </c>
      <c r="H21" s="71" t="n">
        <v>1</v>
      </c>
      <c r="I21" s="71" t="n">
        <v>1</v>
      </c>
      <c r="J21" s="71" t="n">
        <v>1</v>
      </c>
      <c r="K21" s="71" t="n">
        <v>1</v>
      </c>
      <c r="L21" s="72">
        <f>E21*('Dynamic Adjustments'!$B$5*F21+'Dynamic Adjustments'!$B$6*Q21+'Dynamic Adjustments'!$B$7*H21+'Dynamic Adjustments'!$B$8*I21+'Dynamic Adjustments'!$B$9*J21+'Dynamic Adjustments'!$B$10*K21)</f>
        <v/>
      </c>
      <c r="M21" s="73">
        <f>P21*'League Settings'!$B$7</f>
        <v/>
      </c>
      <c r="N21" s="74">
        <f>(L21+M21)*R21</f>
        <v/>
      </c>
      <c r="O21" s="75">
        <f>IF(N21&gt;=85,"Elite",IF(N21&gt;=70,"Star",IF(N21&gt;=55,"Starter",IF(N21&gt;=40,"Flex",IF(N21&gt;=25,"Bench","Waiver")))))</f>
        <v/>
      </c>
      <c r="P21" s="76">
        <f>IF(C21="WR",1,IF(C21="TE",0.8,IF(C21="RB",0.5,0)))</f>
        <v/>
      </c>
      <c r="Q21" s="94">
        <f>IF('League Settings'!$B$19="Redraft",1,IF(OR(C21="DEF",C21="K",D21=0),1,IF(D21&lt;=24,'Dynamic Adjustments'!$B$28,IF(D21&lt;=27,'Dynamic Adjustments'!$B$29,IF(D21&lt;=30,'Dynamic Adjustments'!$B$30,'Dynamic Adjustments'!$B$31)))))</f>
        <v/>
      </c>
      <c r="R21" s="94" t="n">
        <v>1</v>
      </c>
    </row>
    <row r="22">
      <c r="A22" s="67" t="n">
        <v>19</v>
      </c>
      <c r="B22" s="68">
        <f>'Base Player Values'!B22</f>
        <v/>
      </c>
      <c r="C22" s="67">
        <f>'Base Player Values'!C22</f>
        <v/>
      </c>
      <c r="D22" s="67">
        <f>'Base Player Values'!E22</f>
        <v/>
      </c>
      <c r="E22" s="69">
        <f>'Base Player Values'!F22</f>
        <v/>
      </c>
      <c r="F22" s="70">
        <f>IFERROR(VLOOKUP(C22,'Dynamic Adjustments'!$A$18:$B$23,2,FALSE),1)</f>
        <v/>
      </c>
      <c r="G22" s="70">
        <f>IF(OR(C22="DEF",C22="K",D22=0),1,IF(D22&lt;=24,'Dynamic Adjustments'!$B$28,IF(D22&lt;=27,'Dynamic Adjustments'!$B$29,IF(D22&lt;=30,'Dynamic Adjustments'!$B$30,'Dynamic Adjustments'!$B$31))))</f>
        <v/>
      </c>
      <c r="H22" s="71" t="n">
        <v>1</v>
      </c>
      <c r="I22" s="71" t="n">
        <v>1</v>
      </c>
      <c r="J22" s="71" t="n">
        <v>1</v>
      </c>
      <c r="K22" s="71" t="n">
        <v>1</v>
      </c>
      <c r="L22" s="72">
        <f>E22*('Dynamic Adjustments'!$B$5*F22+'Dynamic Adjustments'!$B$6*Q22+'Dynamic Adjustments'!$B$7*H22+'Dynamic Adjustments'!$B$8*I22+'Dynamic Adjustments'!$B$9*J22+'Dynamic Adjustments'!$B$10*K22)</f>
        <v/>
      </c>
      <c r="M22" s="73">
        <f>P22*'League Settings'!$B$7</f>
        <v/>
      </c>
      <c r="N22" s="74">
        <f>(L22+M22)*R22</f>
        <v/>
      </c>
      <c r="O22" s="75">
        <f>IF(N22&gt;=85,"Elite",IF(N22&gt;=70,"Star",IF(N22&gt;=55,"Starter",IF(N22&gt;=40,"Flex",IF(N22&gt;=25,"Bench","Waiver")))))</f>
        <v/>
      </c>
      <c r="P22" s="76">
        <f>IF(C22="WR",1,IF(C22="TE",0.8,IF(C22="RB",0.5,0)))</f>
        <v/>
      </c>
      <c r="Q22" s="94">
        <f>IF('League Settings'!$B$19="Redraft",1,IF(OR(C22="DEF",C22="K",D22=0),1,IF(D22&lt;=24,'Dynamic Adjustments'!$B$28,IF(D22&lt;=27,'Dynamic Adjustments'!$B$29,IF(D22&lt;=30,'Dynamic Adjustments'!$B$30,'Dynamic Adjustments'!$B$31)))))</f>
        <v/>
      </c>
      <c r="R22" s="94" t="n">
        <v>1</v>
      </c>
    </row>
    <row r="23">
      <c r="A23" s="67" t="n">
        <v>20</v>
      </c>
      <c r="B23" s="68">
        <f>'Base Player Values'!B23</f>
        <v/>
      </c>
      <c r="C23" s="67">
        <f>'Base Player Values'!C23</f>
        <v/>
      </c>
      <c r="D23" s="67">
        <f>'Base Player Values'!E23</f>
        <v/>
      </c>
      <c r="E23" s="69">
        <f>'Base Player Values'!F23</f>
        <v/>
      </c>
      <c r="F23" s="70">
        <f>IFERROR(VLOOKUP(C23,'Dynamic Adjustments'!$A$18:$B$23,2,FALSE),1)</f>
        <v/>
      </c>
      <c r="G23" s="70">
        <f>IF(OR(C23="DEF",C23="K",D23=0),1,IF(D23&lt;=24,'Dynamic Adjustments'!$B$28,IF(D23&lt;=27,'Dynamic Adjustments'!$B$29,IF(D23&lt;=30,'Dynamic Adjustments'!$B$30,'Dynamic Adjustments'!$B$31))))</f>
        <v/>
      </c>
      <c r="H23" s="71" t="n">
        <v>1</v>
      </c>
      <c r="I23" s="71" t="n">
        <v>1</v>
      </c>
      <c r="J23" s="71" t="n">
        <v>1</v>
      </c>
      <c r="K23" s="71" t="n">
        <v>1</v>
      </c>
      <c r="L23" s="72">
        <f>E23*('Dynamic Adjustments'!$B$5*F23+'Dynamic Adjustments'!$B$6*Q23+'Dynamic Adjustments'!$B$7*H23+'Dynamic Adjustments'!$B$8*I23+'Dynamic Adjustments'!$B$9*J23+'Dynamic Adjustments'!$B$10*K23)</f>
        <v/>
      </c>
      <c r="M23" s="73">
        <f>P23*'League Settings'!$B$7</f>
        <v/>
      </c>
      <c r="N23" s="74">
        <f>(L23+M23)*R23</f>
        <v/>
      </c>
      <c r="O23" s="75">
        <f>IF(N23&gt;=85,"Elite",IF(N23&gt;=70,"Star",IF(N23&gt;=55,"Starter",IF(N23&gt;=40,"Flex",IF(N23&gt;=25,"Bench","Waiver")))))</f>
        <v/>
      </c>
      <c r="P23" s="76">
        <f>IF(C23="WR",1,IF(C23="TE",0.8,IF(C23="RB",0.5,0)))</f>
        <v/>
      </c>
      <c r="Q23" s="94">
        <f>IF('League Settings'!$B$19="Redraft",1,IF(OR(C23="DEF",C23="K",D23=0),1,IF(D23&lt;=24,'Dynamic Adjustments'!$B$28,IF(D23&lt;=27,'Dynamic Adjustments'!$B$29,IF(D23&lt;=30,'Dynamic Adjustments'!$B$30,'Dynamic Adjustments'!$B$31)))))</f>
        <v/>
      </c>
      <c r="R23" s="94" t="n">
        <v>1</v>
      </c>
    </row>
    <row r="24">
      <c r="A24" s="67" t="n">
        <v>21</v>
      </c>
      <c r="B24" s="68">
        <f>'Base Player Values'!B24</f>
        <v/>
      </c>
      <c r="C24" s="67">
        <f>'Base Player Values'!C24</f>
        <v/>
      </c>
      <c r="D24" s="67">
        <f>'Base Player Values'!E24</f>
        <v/>
      </c>
      <c r="E24" s="69">
        <f>'Base Player Values'!F24</f>
        <v/>
      </c>
      <c r="F24" s="70">
        <f>IFERROR(VLOOKUP(C24,'Dynamic Adjustments'!$A$18:$B$23,2,FALSE),1)</f>
        <v/>
      </c>
      <c r="G24" s="70">
        <f>IF(OR(C24="DEF",C24="K",D24=0),1,IF(D24&lt;=24,'Dynamic Adjustments'!$B$28,IF(D24&lt;=27,'Dynamic Adjustments'!$B$29,IF(D24&lt;=30,'Dynamic Adjustments'!$B$30,'Dynamic Adjustments'!$B$31))))</f>
        <v/>
      </c>
      <c r="H24" s="71" t="n">
        <v>1</v>
      </c>
      <c r="I24" s="71" t="n">
        <v>1</v>
      </c>
      <c r="J24" s="71" t="n">
        <v>1</v>
      </c>
      <c r="K24" s="71" t="n">
        <v>1</v>
      </c>
      <c r="L24" s="72">
        <f>E24*('Dynamic Adjustments'!$B$5*F24+'Dynamic Adjustments'!$B$6*Q24+'Dynamic Adjustments'!$B$7*H24+'Dynamic Adjustments'!$B$8*I24+'Dynamic Adjustments'!$B$9*J24+'Dynamic Adjustments'!$B$10*K24)</f>
        <v/>
      </c>
      <c r="M24" s="73">
        <f>P24*'League Settings'!$B$7</f>
        <v/>
      </c>
      <c r="N24" s="74">
        <f>(L24+M24)*R24</f>
        <v/>
      </c>
      <c r="O24" s="75">
        <f>IF(N24&gt;=85,"Elite",IF(N24&gt;=70,"Star",IF(N24&gt;=55,"Starter",IF(N24&gt;=40,"Flex",IF(N24&gt;=25,"Bench","Waiver")))))</f>
        <v/>
      </c>
      <c r="P24" s="76">
        <f>IF(C24="WR",1,IF(C24="TE",0.8,IF(C24="RB",0.5,0)))</f>
        <v/>
      </c>
      <c r="Q24" s="94">
        <f>IF('League Settings'!$B$19="Redraft",1,IF(OR(C24="DEF",C24="K",D24=0),1,IF(D24&lt;=24,'Dynamic Adjustments'!$B$28,IF(D24&lt;=27,'Dynamic Adjustments'!$B$29,IF(D24&lt;=30,'Dynamic Adjustments'!$B$30,'Dynamic Adjustments'!$B$31)))))</f>
        <v/>
      </c>
      <c r="R24" s="94" t="n">
        <v>1</v>
      </c>
    </row>
    <row r="25">
      <c r="A25" s="67" t="n">
        <v>22</v>
      </c>
      <c r="B25" s="68">
        <f>'Base Player Values'!B25</f>
        <v/>
      </c>
      <c r="C25" s="67">
        <f>'Base Player Values'!C25</f>
        <v/>
      </c>
      <c r="D25" s="67">
        <f>'Base Player Values'!E25</f>
        <v/>
      </c>
      <c r="E25" s="69">
        <f>'Base Player Values'!F25</f>
        <v/>
      </c>
      <c r="F25" s="70">
        <f>IFERROR(VLOOKUP(C25,'Dynamic Adjustments'!$A$18:$B$23,2,FALSE),1)</f>
        <v/>
      </c>
      <c r="G25" s="70">
        <f>IF(OR(C25="DEF",C25="K",D25=0),1,IF(D25&lt;=24,'Dynamic Adjustments'!$B$28,IF(D25&lt;=27,'Dynamic Adjustments'!$B$29,IF(D25&lt;=30,'Dynamic Adjustments'!$B$30,'Dynamic Adjustments'!$B$31))))</f>
        <v/>
      </c>
      <c r="H25" s="71" t="n">
        <v>1</v>
      </c>
      <c r="I25" s="71" t="n">
        <v>1</v>
      </c>
      <c r="J25" s="71" t="n">
        <v>1</v>
      </c>
      <c r="K25" s="71" t="n">
        <v>1</v>
      </c>
      <c r="L25" s="72">
        <f>E25*('Dynamic Adjustments'!$B$5*F25+'Dynamic Adjustments'!$B$6*Q25+'Dynamic Adjustments'!$B$7*H25+'Dynamic Adjustments'!$B$8*I25+'Dynamic Adjustments'!$B$9*J25+'Dynamic Adjustments'!$B$10*K25)</f>
        <v/>
      </c>
      <c r="M25" s="73">
        <f>P25*'League Settings'!$B$7</f>
        <v/>
      </c>
      <c r="N25" s="74">
        <f>(L25+M25)*R25</f>
        <v/>
      </c>
      <c r="O25" s="75">
        <f>IF(N25&gt;=85,"Elite",IF(N25&gt;=70,"Star",IF(N25&gt;=55,"Starter",IF(N25&gt;=40,"Flex",IF(N25&gt;=25,"Bench","Waiver")))))</f>
        <v/>
      </c>
      <c r="P25" s="76">
        <f>IF(C25="WR",1,IF(C25="TE",0.8,IF(C25="RB",0.5,0)))</f>
        <v/>
      </c>
      <c r="Q25" s="94">
        <f>IF('League Settings'!$B$19="Redraft",1,IF(OR(C25="DEF",C25="K",D25=0),1,IF(D25&lt;=24,'Dynamic Adjustments'!$B$28,IF(D25&lt;=27,'Dynamic Adjustments'!$B$29,IF(D25&lt;=30,'Dynamic Adjustments'!$B$30,'Dynamic Adjustments'!$B$31)))))</f>
        <v/>
      </c>
      <c r="R25" s="94" t="n">
        <v>1</v>
      </c>
    </row>
    <row r="26">
      <c r="A26" s="67" t="n">
        <v>23</v>
      </c>
      <c r="B26" s="68">
        <f>'Base Player Values'!B26</f>
        <v/>
      </c>
      <c r="C26" s="67">
        <f>'Base Player Values'!C26</f>
        <v/>
      </c>
      <c r="D26" s="67">
        <f>'Base Player Values'!E26</f>
        <v/>
      </c>
      <c r="E26" s="69">
        <f>'Base Player Values'!F26</f>
        <v/>
      </c>
      <c r="F26" s="70">
        <f>IFERROR(VLOOKUP(C26,'Dynamic Adjustments'!$A$18:$B$23,2,FALSE),1)</f>
        <v/>
      </c>
      <c r="G26" s="70">
        <f>IF(OR(C26="DEF",C26="K",D26=0),1,IF(D26&lt;=24,'Dynamic Adjustments'!$B$28,IF(D26&lt;=27,'Dynamic Adjustments'!$B$29,IF(D26&lt;=30,'Dynamic Adjustments'!$B$30,'Dynamic Adjustments'!$B$31))))</f>
        <v/>
      </c>
      <c r="H26" s="71" t="n">
        <v>1</v>
      </c>
      <c r="I26" s="71" t="n">
        <v>1</v>
      </c>
      <c r="J26" s="71" t="n">
        <v>1</v>
      </c>
      <c r="K26" s="71" t="n">
        <v>1</v>
      </c>
      <c r="L26" s="72">
        <f>E26*('Dynamic Adjustments'!$B$5*F26+'Dynamic Adjustments'!$B$6*Q26+'Dynamic Adjustments'!$B$7*H26+'Dynamic Adjustments'!$B$8*I26+'Dynamic Adjustments'!$B$9*J26+'Dynamic Adjustments'!$B$10*K26)</f>
        <v/>
      </c>
      <c r="M26" s="73">
        <f>P26*'League Settings'!$B$7</f>
        <v/>
      </c>
      <c r="N26" s="74">
        <f>(L26+M26)*R26</f>
        <v/>
      </c>
      <c r="O26" s="75">
        <f>IF(N26&gt;=85,"Elite",IF(N26&gt;=70,"Star",IF(N26&gt;=55,"Starter",IF(N26&gt;=40,"Flex",IF(N26&gt;=25,"Bench","Waiver")))))</f>
        <v/>
      </c>
      <c r="P26" s="76">
        <f>IF(C26="WR",1,IF(C26="TE",0.8,IF(C26="RB",0.5,0)))</f>
        <v/>
      </c>
      <c r="Q26" s="94">
        <f>IF('League Settings'!$B$19="Redraft",1,IF(OR(C26="DEF",C26="K",D26=0),1,IF(D26&lt;=24,'Dynamic Adjustments'!$B$28,IF(D26&lt;=27,'Dynamic Adjustments'!$B$29,IF(D26&lt;=30,'Dynamic Adjustments'!$B$30,'Dynamic Adjustments'!$B$31)))))</f>
        <v/>
      </c>
      <c r="R26" s="94" t="n">
        <v>1</v>
      </c>
    </row>
    <row r="27">
      <c r="A27" s="67" t="n">
        <v>24</v>
      </c>
      <c r="B27" s="68">
        <f>'Base Player Values'!B27</f>
        <v/>
      </c>
      <c r="C27" s="67">
        <f>'Base Player Values'!C27</f>
        <v/>
      </c>
      <c r="D27" s="67">
        <f>'Base Player Values'!E27</f>
        <v/>
      </c>
      <c r="E27" s="69">
        <f>'Base Player Values'!F27</f>
        <v/>
      </c>
      <c r="F27" s="70">
        <f>IFERROR(VLOOKUP(C27,'Dynamic Adjustments'!$A$18:$B$23,2,FALSE),1)</f>
        <v/>
      </c>
      <c r="G27" s="70">
        <f>IF(OR(C27="DEF",C27="K",D27=0),1,IF(D27&lt;=24,'Dynamic Adjustments'!$B$28,IF(D27&lt;=27,'Dynamic Adjustments'!$B$29,IF(D27&lt;=30,'Dynamic Adjustments'!$B$30,'Dynamic Adjustments'!$B$31))))</f>
        <v/>
      </c>
      <c r="H27" s="71" t="n">
        <v>1</v>
      </c>
      <c r="I27" s="71" t="n">
        <v>1</v>
      </c>
      <c r="J27" s="71" t="n">
        <v>1</v>
      </c>
      <c r="K27" s="71" t="n">
        <v>1</v>
      </c>
      <c r="L27" s="72">
        <f>E27*('Dynamic Adjustments'!$B$5*F27+'Dynamic Adjustments'!$B$6*Q27+'Dynamic Adjustments'!$B$7*H27+'Dynamic Adjustments'!$B$8*I27+'Dynamic Adjustments'!$B$9*J27+'Dynamic Adjustments'!$B$10*K27)</f>
        <v/>
      </c>
      <c r="M27" s="73">
        <f>P27*'League Settings'!$B$7</f>
        <v/>
      </c>
      <c r="N27" s="74">
        <f>(L27+M27)*R27</f>
        <v/>
      </c>
      <c r="O27" s="75">
        <f>IF(N27&gt;=85,"Elite",IF(N27&gt;=70,"Star",IF(N27&gt;=55,"Starter",IF(N27&gt;=40,"Flex",IF(N27&gt;=25,"Bench","Waiver")))))</f>
        <v/>
      </c>
      <c r="P27" s="76">
        <f>IF(C27="WR",1,IF(C27="TE",0.8,IF(C27="RB",0.5,0)))</f>
        <v/>
      </c>
      <c r="Q27" s="94">
        <f>IF('League Settings'!$B$19="Redraft",1,IF(OR(C27="DEF",C27="K",D27=0),1,IF(D27&lt;=24,'Dynamic Adjustments'!$B$28,IF(D27&lt;=27,'Dynamic Adjustments'!$B$29,IF(D27&lt;=30,'Dynamic Adjustments'!$B$30,'Dynamic Adjustments'!$B$31)))))</f>
        <v/>
      </c>
      <c r="R27" s="94" t="n">
        <v>1</v>
      </c>
    </row>
    <row r="28">
      <c r="A28" s="67" t="n">
        <v>25</v>
      </c>
      <c r="B28" s="68">
        <f>'Base Player Values'!B28</f>
        <v/>
      </c>
      <c r="C28" s="67">
        <f>'Base Player Values'!C28</f>
        <v/>
      </c>
      <c r="D28" s="67">
        <f>'Base Player Values'!E28</f>
        <v/>
      </c>
      <c r="E28" s="69">
        <f>'Base Player Values'!F28</f>
        <v/>
      </c>
      <c r="F28" s="70">
        <f>IFERROR(VLOOKUP(C28,'Dynamic Adjustments'!$A$18:$B$23,2,FALSE),1)</f>
        <v/>
      </c>
      <c r="G28" s="70">
        <f>IF(OR(C28="DEF",C28="K",D28=0),1,IF(D28&lt;=24,'Dynamic Adjustments'!$B$28,IF(D28&lt;=27,'Dynamic Adjustments'!$B$29,IF(D28&lt;=30,'Dynamic Adjustments'!$B$30,'Dynamic Adjustments'!$B$31))))</f>
        <v/>
      </c>
      <c r="H28" s="71" t="n">
        <v>1</v>
      </c>
      <c r="I28" s="71" t="n">
        <v>1</v>
      </c>
      <c r="J28" s="71" t="n">
        <v>1</v>
      </c>
      <c r="K28" s="71" t="n">
        <v>1</v>
      </c>
      <c r="L28" s="72">
        <f>E28*('Dynamic Adjustments'!$B$5*F28+'Dynamic Adjustments'!$B$6*Q28+'Dynamic Adjustments'!$B$7*H28+'Dynamic Adjustments'!$B$8*I28+'Dynamic Adjustments'!$B$9*J28+'Dynamic Adjustments'!$B$10*K28)</f>
        <v/>
      </c>
      <c r="M28" s="73">
        <f>P28*'League Settings'!$B$7</f>
        <v/>
      </c>
      <c r="N28" s="74">
        <f>(L28+M28)*R28</f>
        <v/>
      </c>
      <c r="O28" s="75">
        <f>IF(N28&gt;=85,"Elite",IF(N28&gt;=70,"Star",IF(N28&gt;=55,"Starter",IF(N28&gt;=40,"Flex",IF(N28&gt;=25,"Bench","Waiver")))))</f>
        <v/>
      </c>
      <c r="P28" s="76">
        <f>IF(C28="WR",1,IF(C28="TE",0.8,IF(C28="RB",0.5,0)))</f>
        <v/>
      </c>
      <c r="Q28" s="94">
        <f>IF('League Settings'!$B$19="Redraft",1,IF(OR(C28="DEF",C28="K",D28=0),1,IF(D28&lt;=24,'Dynamic Adjustments'!$B$28,IF(D28&lt;=27,'Dynamic Adjustments'!$B$29,IF(D28&lt;=30,'Dynamic Adjustments'!$B$30,'Dynamic Adjustments'!$B$31)))))</f>
        <v/>
      </c>
      <c r="R28" s="94" t="n">
        <v>1</v>
      </c>
    </row>
    <row r="29">
      <c r="A29" s="67" t="n">
        <v>26</v>
      </c>
      <c r="B29" s="68">
        <f>'Base Player Values'!B29</f>
        <v/>
      </c>
      <c r="C29" s="67">
        <f>'Base Player Values'!C29</f>
        <v/>
      </c>
      <c r="D29" s="67">
        <f>'Base Player Values'!E29</f>
        <v/>
      </c>
      <c r="E29" s="69">
        <f>'Base Player Values'!F29</f>
        <v/>
      </c>
      <c r="F29" s="70">
        <f>IFERROR(VLOOKUP(C29,'Dynamic Adjustments'!$A$18:$B$23,2,FALSE),1)</f>
        <v/>
      </c>
      <c r="G29" s="70">
        <f>IF(OR(C29="DEF",C29="K",D29=0),1,IF(D29&lt;=24,'Dynamic Adjustments'!$B$28,IF(D29&lt;=27,'Dynamic Adjustments'!$B$29,IF(D29&lt;=30,'Dynamic Adjustments'!$B$30,'Dynamic Adjustments'!$B$31))))</f>
        <v/>
      </c>
      <c r="H29" s="71" t="n">
        <v>1</v>
      </c>
      <c r="I29" s="71" t="n">
        <v>1</v>
      </c>
      <c r="J29" s="71" t="n">
        <v>1</v>
      </c>
      <c r="K29" s="71" t="n">
        <v>1</v>
      </c>
      <c r="L29" s="72">
        <f>E29*('Dynamic Adjustments'!$B$5*F29+'Dynamic Adjustments'!$B$6*Q29+'Dynamic Adjustments'!$B$7*H29+'Dynamic Adjustments'!$B$8*I29+'Dynamic Adjustments'!$B$9*J29+'Dynamic Adjustments'!$B$10*K29)</f>
        <v/>
      </c>
      <c r="M29" s="73">
        <f>P29*'League Settings'!$B$7</f>
        <v/>
      </c>
      <c r="N29" s="74">
        <f>(L29+M29)*R29</f>
        <v/>
      </c>
      <c r="O29" s="75">
        <f>IF(N29&gt;=85,"Elite",IF(N29&gt;=70,"Star",IF(N29&gt;=55,"Starter",IF(N29&gt;=40,"Flex",IF(N29&gt;=25,"Bench","Waiver")))))</f>
        <v/>
      </c>
      <c r="P29" s="76">
        <f>IF(C29="WR",1,IF(C29="TE",0.8,IF(C29="RB",0.5,0)))</f>
        <v/>
      </c>
      <c r="Q29" s="94">
        <f>IF('League Settings'!$B$19="Redraft",1,IF(OR(C29="DEF",C29="K",D29=0),1,IF(D29&lt;=24,'Dynamic Adjustments'!$B$28,IF(D29&lt;=27,'Dynamic Adjustments'!$B$29,IF(D29&lt;=30,'Dynamic Adjustments'!$B$30,'Dynamic Adjustments'!$B$31)))))</f>
        <v/>
      </c>
      <c r="R29" s="94" t="n">
        <v>1</v>
      </c>
    </row>
    <row r="30">
      <c r="A30" s="67" t="n">
        <v>27</v>
      </c>
      <c r="B30" s="68">
        <f>'Base Player Values'!B30</f>
        <v/>
      </c>
      <c r="C30" s="67">
        <f>'Base Player Values'!C30</f>
        <v/>
      </c>
      <c r="D30" s="67">
        <f>'Base Player Values'!E30</f>
        <v/>
      </c>
      <c r="E30" s="69">
        <f>'Base Player Values'!F30</f>
        <v/>
      </c>
      <c r="F30" s="70">
        <f>IFERROR(VLOOKUP(C30,'Dynamic Adjustments'!$A$18:$B$23,2,FALSE),1)</f>
        <v/>
      </c>
      <c r="G30" s="70">
        <f>IF(OR(C30="DEF",C30="K",D30=0),1,IF(D30&lt;=24,'Dynamic Adjustments'!$B$28,IF(D30&lt;=27,'Dynamic Adjustments'!$B$29,IF(D30&lt;=30,'Dynamic Adjustments'!$B$30,'Dynamic Adjustments'!$B$31))))</f>
        <v/>
      </c>
      <c r="H30" s="71" t="n">
        <v>1</v>
      </c>
      <c r="I30" s="71" t="n">
        <v>1</v>
      </c>
      <c r="J30" s="71" t="n">
        <v>1</v>
      </c>
      <c r="K30" s="71" t="n">
        <v>1</v>
      </c>
      <c r="L30" s="72">
        <f>E30*('Dynamic Adjustments'!$B$5*F30+'Dynamic Adjustments'!$B$6*Q30+'Dynamic Adjustments'!$B$7*H30+'Dynamic Adjustments'!$B$8*I30+'Dynamic Adjustments'!$B$9*J30+'Dynamic Adjustments'!$B$10*K30)</f>
        <v/>
      </c>
      <c r="M30" s="73">
        <f>P30*'League Settings'!$B$7</f>
        <v/>
      </c>
      <c r="N30" s="74">
        <f>(L30+M30)*R30</f>
        <v/>
      </c>
      <c r="O30" s="75">
        <f>IF(N30&gt;=85,"Elite",IF(N30&gt;=70,"Star",IF(N30&gt;=55,"Starter",IF(N30&gt;=40,"Flex",IF(N30&gt;=25,"Bench","Waiver")))))</f>
        <v/>
      </c>
      <c r="P30" s="76">
        <f>IF(C30="WR",1,IF(C30="TE",0.8,IF(C30="RB",0.5,0)))</f>
        <v/>
      </c>
      <c r="Q30" s="94">
        <f>IF('League Settings'!$B$19="Redraft",1,IF(OR(C30="DEF",C30="K",D30=0),1,IF(D30&lt;=24,'Dynamic Adjustments'!$B$28,IF(D30&lt;=27,'Dynamic Adjustments'!$B$29,IF(D30&lt;=30,'Dynamic Adjustments'!$B$30,'Dynamic Adjustments'!$B$31)))))</f>
        <v/>
      </c>
      <c r="R30" s="94" t="n">
        <v>1</v>
      </c>
    </row>
    <row r="31">
      <c r="A31" s="67" t="n">
        <v>28</v>
      </c>
      <c r="B31" s="68">
        <f>'Base Player Values'!B31</f>
        <v/>
      </c>
      <c r="C31" s="67">
        <f>'Base Player Values'!C31</f>
        <v/>
      </c>
      <c r="D31" s="67">
        <f>'Base Player Values'!E31</f>
        <v/>
      </c>
      <c r="E31" s="69">
        <f>'Base Player Values'!F31</f>
        <v/>
      </c>
      <c r="F31" s="70">
        <f>IFERROR(VLOOKUP(C31,'Dynamic Adjustments'!$A$18:$B$23,2,FALSE),1)</f>
        <v/>
      </c>
      <c r="G31" s="70">
        <f>IF(OR(C31="DEF",C31="K",D31=0),1,IF(D31&lt;=24,'Dynamic Adjustments'!$B$28,IF(D31&lt;=27,'Dynamic Adjustments'!$B$29,IF(D31&lt;=30,'Dynamic Adjustments'!$B$30,'Dynamic Adjustments'!$B$31))))</f>
        <v/>
      </c>
      <c r="H31" s="71" t="n">
        <v>1</v>
      </c>
      <c r="I31" s="71" t="n">
        <v>1</v>
      </c>
      <c r="J31" s="71" t="n">
        <v>1</v>
      </c>
      <c r="K31" s="71" t="n">
        <v>1</v>
      </c>
      <c r="L31" s="72">
        <f>E31*('Dynamic Adjustments'!$B$5*F31+'Dynamic Adjustments'!$B$6*Q31+'Dynamic Adjustments'!$B$7*H31+'Dynamic Adjustments'!$B$8*I31+'Dynamic Adjustments'!$B$9*J31+'Dynamic Adjustments'!$B$10*K31)</f>
        <v/>
      </c>
      <c r="M31" s="73">
        <f>P31*'League Settings'!$B$7</f>
        <v/>
      </c>
      <c r="N31" s="74">
        <f>(L31+M31)*R31</f>
        <v/>
      </c>
      <c r="O31" s="75">
        <f>IF(N31&gt;=85,"Elite",IF(N31&gt;=70,"Star",IF(N31&gt;=55,"Starter",IF(N31&gt;=40,"Flex",IF(N31&gt;=25,"Bench","Waiver")))))</f>
        <v/>
      </c>
      <c r="P31" s="76">
        <f>IF(C31="WR",1,IF(C31="TE",0.8,IF(C31="RB",0.5,0)))</f>
        <v/>
      </c>
      <c r="Q31" s="94">
        <f>IF('League Settings'!$B$19="Redraft",1,IF(OR(C31="DEF",C31="K",D31=0),1,IF(D31&lt;=24,'Dynamic Adjustments'!$B$28,IF(D31&lt;=27,'Dynamic Adjustments'!$B$29,IF(D31&lt;=30,'Dynamic Adjustments'!$B$30,'Dynamic Adjustments'!$B$31)))))</f>
        <v/>
      </c>
      <c r="R31" s="94" t="n">
        <v>1</v>
      </c>
    </row>
    <row r="32">
      <c r="A32" s="67" t="n">
        <v>29</v>
      </c>
      <c r="B32" s="68">
        <f>'Base Player Values'!B32</f>
        <v/>
      </c>
      <c r="C32" s="67">
        <f>'Base Player Values'!C32</f>
        <v/>
      </c>
      <c r="D32" s="67">
        <f>'Base Player Values'!E32</f>
        <v/>
      </c>
      <c r="E32" s="69">
        <f>'Base Player Values'!F32</f>
        <v/>
      </c>
      <c r="F32" s="70">
        <f>IFERROR(VLOOKUP(C32,'Dynamic Adjustments'!$A$18:$B$23,2,FALSE),1)</f>
        <v/>
      </c>
      <c r="G32" s="70">
        <f>IF(OR(C32="DEF",C32="K",D32=0),1,IF(D32&lt;=24,'Dynamic Adjustments'!$B$28,IF(D32&lt;=27,'Dynamic Adjustments'!$B$29,IF(D32&lt;=30,'Dynamic Adjustments'!$B$30,'Dynamic Adjustments'!$B$31))))</f>
        <v/>
      </c>
      <c r="H32" s="71" t="n">
        <v>1</v>
      </c>
      <c r="I32" s="71" t="n">
        <v>1</v>
      </c>
      <c r="J32" s="71" t="n">
        <v>1</v>
      </c>
      <c r="K32" s="71" t="n">
        <v>1</v>
      </c>
      <c r="L32" s="72">
        <f>E32*('Dynamic Adjustments'!$B$5*F32+'Dynamic Adjustments'!$B$6*Q32+'Dynamic Adjustments'!$B$7*H32+'Dynamic Adjustments'!$B$8*I32+'Dynamic Adjustments'!$B$9*J32+'Dynamic Adjustments'!$B$10*K32)</f>
        <v/>
      </c>
      <c r="M32" s="73">
        <f>P32*'League Settings'!$B$7</f>
        <v/>
      </c>
      <c r="N32" s="74">
        <f>(L32+M32)*R32</f>
        <v/>
      </c>
      <c r="O32" s="75">
        <f>IF(N32&gt;=85,"Elite",IF(N32&gt;=70,"Star",IF(N32&gt;=55,"Starter",IF(N32&gt;=40,"Flex",IF(N32&gt;=25,"Bench","Waiver")))))</f>
        <v/>
      </c>
      <c r="P32" s="76">
        <f>IF(C32="WR",1,IF(C32="TE",0.8,IF(C32="RB",0.5,0)))</f>
        <v/>
      </c>
      <c r="Q32" s="94">
        <f>IF('League Settings'!$B$19="Redraft",1,IF(OR(C32="DEF",C32="K",D32=0),1,IF(D32&lt;=24,'Dynamic Adjustments'!$B$28,IF(D32&lt;=27,'Dynamic Adjustments'!$B$29,IF(D32&lt;=30,'Dynamic Adjustments'!$B$30,'Dynamic Adjustments'!$B$31)))))</f>
        <v/>
      </c>
      <c r="R32" s="94" t="n">
        <v>1</v>
      </c>
    </row>
    <row r="33">
      <c r="A33" s="67" t="n">
        <v>30</v>
      </c>
      <c r="B33" s="68">
        <f>'Base Player Values'!B33</f>
        <v/>
      </c>
      <c r="C33" s="67">
        <f>'Base Player Values'!C33</f>
        <v/>
      </c>
      <c r="D33" s="67">
        <f>'Base Player Values'!E33</f>
        <v/>
      </c>
      <c r="E33" s="69">
        <f>'Base Player Values'!F33</f>
        <v/>
      </c>
      <c r="F33" s="70">
        <f>IFERROR(VLOOKUP(C33,'Dynamic Adjustments'!$A$18:$B$23,2,FALSE),1)</f>
        <v/>
      </c>
      <c r="G33" s="70">
        <f>IF(OR(C33="DEF",C33="K",D33=0),1,IF(D33&lt;=24,'Dynamic Adjustments'!$B$28,IF(D33&lt;=27,'Dynamic Adjustments'!$B$29,IF(D33&lt;=30,'Dynamic Adjustments'!$B$30,'Dynamic Adjustments'!$B$31))))</f>
        <v/>
      </c>
      <c r="H33" s="71" t="n">
        <v>1</v>
      </c>
      <c r="I33" s="71" t="n">
        <v>1</v>
      </c>
      <c r="J33" s="71" t="n">
        <v>1</v>
      </c>
      <c r="K33" s="71" t="n">
        <v>1</v>
      </c>
      <c r="L33" s="72">
        <f>E33*('Dynamic Adjustments'!$B$5*F33+'Dynamic Adjustments'!$B$6*Q33+'Dynamic Adjustments'!$B$7*H33+'Dynamic Adjustments'!$B$8*I33+'Dynamic Adjustments'!$B$9*J33+'Dynamic Adjustments'!$B$10*K33)</f>
        <v/>
      </c>
      <c r="M33" s="73">
        <f>P33*'League Settings'!$B$7</f>
        <v/>
      </c>
      <c r="N33" s="74">
        <f>(L33+M33)*R33</f>
        <v/>
      </c>
      <c r="O33" s="75">
        <f>IF(N33&gt;=85,"Elite",IF(N33&gt;=70,"Star",IF(N33&gt;=55,"Starter",IF(N33&gt;=40,"Flex",IF(N33&gt;=25,"Bench","Waiver")))))</f>
        <v/>
      </c>
      <c r="P33" s="76">
        <f>IF(C33="WR",1,IF(C33="TE",0.8,IF(C33="RB",0.5,0)))</f>
        <v/>
      </c>
      <c r="Q33" s="94">
        <f>IF('League Settings'!$B$19="Redraft",1,IF(OR(C33="DEF",C33="K",D33=0),1,IF(D33&lt;=24,'Dynamic Adjustments'!$B$28,IF(D33&lt;=27,'Dynamic Adjustments'!$B$29,IF(D33&lt;=30,'Dynamic Adjustments'!$B$30,'Dynamic Adjustments'!$B$31)))))</f>
        <v/>
      </c>
      <c r="R33" s="94" t="n">
        <v>1</v>
      </c>
    </row>
    <row r="34">
      <c r="A34" s="67" t="n">
        <v>31</v>
      </c>
      <c r="B34" s="68">
        <f>'Base Player Values'!B34</f>
        <v/>
      </c>
      <c r="C34" s="67">
        <f>'Base Player Values'!C34</f>
        <v/>
      </c>
      <c r="D34" s="67">
        <f>'Base Player Values'!E34</f>
        <v/>
      </c>
      <c r="E34" s="69">
        <f>'Base Player Values'!F34</f>
        <v/>
      </c>
      <c r="F34" s="70">
        <f>IFERROR(VLOOKUP(C34,'Dynamic Adjustments'!$A$18:$B$23,2,FALSE),1)</f>
        <v/>
      </c>
      <c r="G34" s="70">
        <f>IF(OR(C34="DEF",C34="K",D34=0),1,IF(D34&lt;=24,'Dynamic Adjustments'!$B$28,IF(D34&lt;=27,'Dynamic Adjustments'!$B$29,IF(D34&lt;=30,'Dynamic Adjustments'!$B$30,'Dynamic Adjustments'!$B$31))))</f>
        <v/>
      </c>
      <c r="H34" s="71" t="n">
        <v>1</v>
      </c>
      <c r="I34" s="71" t="n">
        <v>1</v>
      </c>
      <c r="J34" s="71" t="n">
        <v>1</v>
      </c>
      <c r="K34" s="71" t="n">
        <v>1</v>
      </c>
      <c r="L34" s="72">
        <f>E34*('Dynamic Adjustments'!$B$5*F34+'Dynamic Adjustments'!$B$6*Q34+'Dynamic Adjustments'!$B$7*H34+'Dynamic Adjustments'!$B$8*I34+'Dynamic Adjustments'!$B$9*J34+'Dynamic Adjustments'!$B$10*K34)</f>
        <v/>
      </c>
      <c r="M34" s="73">
        <f>P34*'League Settings'!$B$7</f>
        <v/>
      </c>
      <c r="N34" s="74">
        <f>(L34+M34)*R34</f>
        <v/>
      </c>
      <c r="O34" s="75">
        <f>IF(N34&gt;=85,"Elite",IF(N34&gt;=70,"Star",IF(N34&gt;=55,"Starter",IF(N34&gt;=40,"Flex",IF(N34&gt;=25,"Bench","Waiver")))))</f>
        <v/>
      </c>
      <c r="P34" s="76">
        <f>IF(C34="WR",1,IF(C34="TE",0.8,IF(C34="RB",0.5,0)))</f>
        <v/>
      </c>
      <c r="Q34" s="94">
        <f>IF('League Settings'!$B$19="Redraft",1,IF(OR(C34="DEF",C34="K",D34=0),1,IF(D34&lt;=24,'Dynamic Adjustments'!$B$28,IF(D34&lt;=27,'Dynamic Adjustments'!$B$29,IF(D34&lt;=30,'Dynamic Adjustments'!$B$30,'Dynamic Adjustments'!$B$31)))))</f>
        <v/>
      </c>
      <c r="R34" s="94" t="n">
        <v>1</v>
      </c>
    </row>
    <row r="35">
      <c r="A35" s="67" t="n">
        <v>32</v>
      </c>
      <c r="B35" s="68">
        <f>'Base Player Values'!B35</f>
        <v/>
      </c>
      <c r="C35" s="67">
        <f>'Base Player Values'!C35</f>
        <v/>
      </c>
      <c r="D35" s="67">
        <f>'Base Player Values'!E35</f>
        <v/>
      </c>
      <c r="E35" s="69">
        <f>'Base Player Values'!F35</f>
        <v/>
      </c>
      <c r="F35" s="70">
        <f>IFERROR(VLOOKUP(C35,'Dynamic Adjustments'!$A$18:$B$23,2,FALSE),1)</f>
        <v/>
      </c>
      <c r="G35" s="70">
        <f>IF(OR(C35="DEF",C35="K",D35=0),1,IF(D35&lt;=24,'Dynamic Adjustments'!$B$28,IF(D35&lt;=27,'Dynamic Adjustments'!$B$29,IF(D35&lt;=30,'Dynamic Adjustments'!$B$30,'Dynamic Adjustments'!$B$31))))</f>
        <v/>
      </c>
      <c r="H35" s="71" t="n">
        <v>1</v>
      </c>
      <c r="I35" s="71" t="n">
        <v>1</v>
      </c>
      <c r="J35" s="71" t="n">
        <v>1</v>
      </c>
      <c r="K35" s="71" t="n">
        <v>1</v>
      </c>
      <c r="L35" s="72">
        <f>E35*('Dynamic Adjustments'!$B$5*F35+'Dynamic Adjustments'!$B$6*Q35+'Dynamic Adjustments'!$B$7*H35+'Dynamic Adjustments'!$B$8*I35+'Dynamic Adjustments'!$B$9*J35+'Dynamic Adjustments'!$B$10*K35)</f>
        <v/>
      </c>
      <c r="M35" s="73">
        <f>P35*'League Settings'!$B$7</f>
        <v/>
      </c>
      <c r="N35" s="74">
        <f>(L35+M35)*R35</f>
        <v/>
      </c>
      <c r="O35" s="75">
        <f>IF(N35&gt;=85,"Elite",IF(N35&gt;=70,"Star",IF(N35&gt;=55,"Starter",IF(N35&gt;=40,"Flex",IF(N35&gt;=25,"Bench","Waiver")))))</f>
        <v/>
      </c>
      <c r="P35" s="76">
        <f>IF(C35="WR",1,IF(C35="TE",0.8,IF(C35="RB",0.5,0)))</f>
        <v/>
      </c>
      <c r="Q35" s="94">
        <f>IF('League Settings'!$B$19="Redraft",1,IF(OR(C35="DEF",C35="K",D35=0),1,IF(D35&lt;=24,'Dynamic Adjustments'!$B$28,IF(D35&lt;=27,'Dynamic Adjustments'!$B$29,IF(D35&lt;=30,'Dynamic Adjustments'!$B$30,'Dynamic Adjustments'!$B$31)))))</f>
        <v/>
      </c>
      <c r="R35" s="94" t="n">
        <v>1</v>
      </c>
    </row>
    <row r="36">
      <c r="A36" s="67" t="n">
        <v>33</v>
      </c>
      <c r="B36" s="68">
        <f>'Base Player Values'!B36</f>
        <v/>
      </c>
      <c r="C36" s="67">
        <f>'Base Player Values'!C36</f>
        <v/>
      </c>
      <c r="D36" s="67">
        <f>'Base Player Values'!E36</f>
        <v/>
      </c>
      <c r="E36" s="69">
        <f>'Base Player Values'!F36</f>
        <v/>
      </c>
      <c r="F36" s="70">
        <f>IFERROR(VLOOKUP(C36,'Dynamic Adjustments'!$A$18:$B$23,2,FALSE),1)</f>
        <v/>
      </c>
      <c r="G36" s="70">
        <f>IF(OR(C36="DEF",C36="K",D36=0),1,IF(D36&lt;=24,'Dynamic Adjustments'!$B$28,IF(D36&lt;=27,'Dynamic Adjustments'!$B$29,IF(D36&lt;=30,'Dynamic Adjustments'!$B$30,'Dynamic Adjustments'!$B$31))))</f>
        <v/>
      </c>
      <c r="H36" s="71" t="n">
        <v>1</v>
      </c>
      <c r="I36" s="71" t="n">
        <v>1</v>
      </c>
      <c r="J36" s="71" t="n">
        <v>1</v>
      </c>
      <c r="K36" s="71" t="n">
        <v>1</v>
      </c>
      <c r="L36" s="72">
        <f>E36*('Dynamic Adjustments'!$B$5*F36+'Dynamic Adjustments'!$B$6*Q36+'Dynamic Adjustments'!$B$7*H36+'Dynamic Adjustments'!$B$8*I36+'Dynamic Adjustments'!$B$9*J36+'Dynamic Adjustments'!$B$10*K36)</f>
        <v/>
      </c>
      <c r="M36" s="73">
        <f>P36*'League Settings'!$B$7</f>
        <v/>
      </c>
      <c r="N36" s="74">
        <f>(L36+M36)*R36</f>
        <v/>
      </c>
      <c r="O36" s="75">
        <f>IF(N36&gt;=85,"Elite",IF(N36&gt;=70,"Star",IF(N36&gt;=55,"Starter",IF(N36&gt;=40,"Flex",IF(N36&gt;=25,"Bench","Waiver")))))</f>
        <v/>
      </c>
      <c r="P36" s="76">
        <f>IF(C36="WR",1,IF(C36="TE",0.8,IF(C36="RB",0.5,0)))</f>
        <v/>
      </c>
      <c r="Q36" s="94">
        <f>IF('League Settings'!$B$19="Redraft",1,IF(OR(C36="DEF",C36="K",D36=0),1,IF(D36&lt;=24,'Dynamic Adjustments'!$B$28,IF(D36&lt;=27,'Dynamic Adjustments'!$B$29,IF(D36&lt;=30,'Dynamic Adjustments'!$B$30,'Dynamic Adjustments'!$B$31)))))</f>
        <v/>
      </c>
      <c r="R36" s="94" t="n">
        <v>1</v>
      </c>
    </row>
    <row r="37">
      <c r="A37" s="67" t="n">
        <v>34</v>
      </c>
      <c r="B37" s="68">
        <f>'Base Player Values'!B37</f>
        <v/>
      </c>
      <c r="C37" s="67">
        <f>'Base Player Values'!C37</f>
        <v/>
      </c>
      <c r="D37" s="67">
        <f>'Base Player Values'!E37</f>
        <v/>
      </c>
      <c r="E37" s="69">
        <f>'Base Player Values'!F37</f>
        <v/>
      </c>
      <c r="F37" s="70">
        <f>IFERROR(VLOOKUP(C37,'Dynamic Adjustments'!$A$18:$B$23,2,FALSE),1)</f>
        <v/>
      </c>
      <c r="G37" s="70">
        <f>IF(OR(C37="DEF",C37="K",D37=0),1,IF(D37&lt;=24,'Dynamic Adjustments'!$B$28,IF(D37&lt;=27,'Dynamic Adjustments'!$B$29,IF(D37&lt;=30,'Dynamic Adjustments'!$B$30,'Dynamic Adjustments'!$B$31))))</f>
        <v/>
      </c>
      <c r="H37" s="71" t="n">
        <v>1</v>
      </c>
      <c r="I37" s="71" t="n">
        <v>1</v>
      </c>
      <c r="J37" s="71" t="n">
        <v>1</v>
      </c>
      <c r="K37" s="71" t="n">
        <v>1</v>
      </c>
      <c r="L37" s="72">
        <f>E37*('Dynamic Adjustments'!$B$5*F37+'Dynamic Adjustments'!$B$6*Q37+'Dynamic Adjustments'!$B$7*H37+'Dynamic Adjustments'!$B$8*I37+'Dynamic Adjustments'!$B$9*J37+'Dynamic Adjustments'!$B$10*K37)</f>
        <v/>
      </c>
      <c r="M37" s="73">
        <f>P37*'League Settings'!$B$7</f>
        <v/>
      </c>
      <c r="N37" s="74">
        <f>(L37+M37)*R37</f>
        <v/>
      </c>
      <c r="O37" s="75">
        <f>IF(N37&gt;=85,"Elite",IF(N37&gt;=70,"Star",IF(N37&gt;=55,"Starter",IF(N37&gt;=40,"Flex",IF(N37&gt;=25,"Bench","Waiver")))))</f>
        <v/>
      </c>
      <c r="P37" s="76">
        <f>IF(C37="WR",1,IF(C37="TE",0.8,IF(C37="RB",0.5,0)))</f>
        <v/>
      </c>
      <c r="Q37" s="94">
        <f>IF('League Settings'!$B$19="Redraft",1,IF(OR(C37="DEF",C37="K",D37=0),1,IF(D37&lt;=24,'Dynamic Adjustments'!$B$28,IF(D37&lt;=27,'Dynamic Adjustments'!$B$29,IF(D37&lt;=30,'Dynamic Adjustments'!$B$30,'Dynamic Adjustments'!$B$31)))))</f>
        <v/>
      </c>
      <c r="R37" s="94" t="n">
        <v>1</v>
      </c>
    </row>
    <row r="38">
      <c r="A38" s="67" t="n">
        <v>35</v>
      </c>
      <c r="B38" s="68">
        <f>'Base Player Values'!B38</f>
        <v/>
      </c>
      <c r="C38" s="67">
        <f>'Base Player Values'!C38</f>
        <v/>
      </c>
      <c r="D38" s="67">
        <f>'Base Player Values'!E38</f>
        <v/>
      </c>
      <c r="E38" s="69">
        <f>'Base Player Values'!F38</f>
        <v/>
      </c>
      <c r="F38" s="70">
        <f>IFERROR(VLOOKUP(C38,'Dynamic Adjustments'!$A$18:$B$23,2,FALSE),1)</f>
        <v/>
      </c>
      <c r="G38" s="70">
        <f>IF(OR(C38="DEF",C38="K",D38=0),1,IF(D38&lt;=24,'Dynamic Adjustments'!$B$28,IF(D38&lt;=27,'Dynamic Adjustments'!$B$29,IF(D38&lt;=30,'Dynamic Adjustments'!$B$30,'Dynamic Adjustments'!$B$31))))</f>
        <v/>
      </c>
      <c r="H38" s="71" t="n">
        <v>1</v>
      </c>
      <c r="I38" s="71" t="n">
        <v>1</v>
      </c>
      <c r="J38" s="71" t="n">
        <v>1</v>
      </c>
      <c r="K38" s="71" t="n">
        <v>1</v>
      </c>
      <c r="L38" s="72">
        <f>E38*('Dynamic Adjustments'!$B$5*F38+'Dynamic Adjustments'!$B$6*Q38+'Dynamic Adjustments'!$B$7*H38+'Dynamic Adjustments'!$B$8*I38+'Dynamic Adjustments'!$B$9*J38+'Dynamic Adjustments'!$B$10*K38)</f>
        <v/>
      </c>
      <c r="M38" s="73">
        <f>P38*'League Settings'!$B$7</f>
        <v/>
      </c>
      <c r="N38" s="74">
        <f>(L38+M38)*R38</f>
        <v/>
      </c>
      <c r="O38" s="75">
        <f>IF(N38&gt;=85,"Elite",IF(N38&gt;=70,"Star",IF(N38&gt;=55,"Starter",IF(N38&gt;=40,"Flex",IF(N38&gt;=25,"Bench","Waiver")))))</f>
        <v/>
      </c>
      <c r="P38" s="76">
        <f>IF(C38="WR",1,IF(C38="TE",0.8,IF(C38="RB",0.5,0)))</f>
        <v/>
      </c>
      <c r="Q38" s="94">
        <f>IF('League Settings'!$B$19="Redraft",1,IF(OR(C38="DEF",C38="K",D38=0),1,IF(D38&lt;=24,'Dynamic Adjustments'!$B$28,IF(D38&lt;=27,'Dynamic Adjustments'!$B$29,IF(D38&lt;=30,'Dynamic Adjustments'!$B$30,'Dynamic Adjustments'!$B$31)))))</f>
        <v/>
      </c>
      <c r="R38" s="94" t="n">
        <v>1</v>
      </c>
    </row>
    <row r="39">
      <c r="A39" s="67" t="n">
        <v>36</v>
      </c>
      <c r="B39" s="68">
        <f>'Base Player Values'!B39</f>
        <v/>
      </c>
      <c r="C39" s="67">
        <f>'Base Player Values'!C39</f>
        <v/>
      </c>
      <c r="D39" s="67">
        <f>'Base Player Values'!E39</f>
        <v/>
      </c>
      <c r="E39" s="69">
        <f>'Base Player Values'!F39</f>
        <v/>
      </c>
      <c r="F39" s="70">
        <f>IFERROR(VLOOKUP(C39,'Dynamic Adjustments'!$A$18:$B$23,2,FALSE),1)</f>
        <v/>
      </c>
      <c r="G39" s="70">
        <f>IF(OR(C39="DEF",C39="K",D39=0),1,IF(D39&lt;=24,'Dynamic Adjustments'!$B$28,IF(D39&lt;=27,'Dynamic Adjustments'!$B$29,IF(D39&lt;=30,'Dynamic Adjustments'!$B$30,'Dynamic Adjustments'!$B$31))))</f>
        <v/>
      </c>
      <c r="H39" s="71" t="n">
        <v>1</v>
      </c>
      <c r="I39" s="71" t="n">
        <v>1</v>
      </c>
      <c r="J39" s="71" t="n">
        <v>1</v>
      </c>
      <c r="K39" s="71" t="n">
        <v>1</v>
      </c>
      <c r="L39" s="72">
        <f>E39*('Dynamic Adjustments'!$B$5*F39+'Dynamic Adjustments'!$B$6*Q39+'Dynamic Adjustments'!$B$7*H39+'Dynamic Adjustments'!$B$8*I39+'Dynamic Adjustments'!$B$9*J39+'Dynamic Adjustments'!$B$10*K39)</f>
        <v/>
      </c>
      <c r="M39" s="73">
        <f>P39*'League Settings'!$B$7</f>
        <v/>
      </c>
      <c r="N39" s="74">
        <f>(L39+M39)*R39</f>
        <v/>
      </c>
      <c r="O39" s="75">
        <f>IF(N39&gt;=85,"Elite",IF(N39&gt;=70,"Star",IF(N39&gt;=55,"Starter",IF(N39&gt;=40,"Flex",IF(N39&gt;=25,"Bench","Waiver")))))</f>
        <v/>
      </c>
      <c r="P39" s="76">
        <f>IF(C39="WR",1,IF(C39="TE",0.8,IF(C39="RB",0.5,0)))</f>
        <v/>
      </c>
      <c r="Q39" s="94">
        <f>IF('League Settings'!$B$19="Redraft",1,IF(OR(C39="DEF",C39="K",D39=0),1,IF(D39&lt;=24,'Dynamic Adjustments'!$B$28,IF(D39&lt;=27,'Dynamic Adjustments'!$B$29,IF(D39&lt;=30,'Dynamic Adjustments'!$B$30,'Dynamic Adjustments'!$B$31)))))</f>
        <v/>
      </c>
      <c r="R39" s="94" t="n">
        <v>1</v>
      </c>
    </row>
    <row r="40">
      <c r="A40" s="67" t="n">
        <v>37</v>
      </c>
      <c r="B40" s="68">
        <f>'Base Player Values'!B40</f>
        <v/>
      </c>
      <c r="C40" s="67">
        <f>'Base Player Values'!C40</f>
        <v/>
      </c>
      <c r="D40" s="67">
        <f>'Base Player Values'!E40</f>
        <v/>
      </c>
      <c r="E40" s="69">
        <f>'Base Player Values'!F40</f>
        <v/>
      </c>
      <c r="F40" s="70">
        <f>IFERROR(VLOOKUP(C40,'Dynamic Adjustments'!$A$18:$B$23,2,FALSE),1)</f>
        <v/>
      </c>
      <c r="G40" s="70">
        <f>IF(OR(C40="DEF",C40="K",D40=0),1,IF(D40&lt;=24,'Dynamic Adjustments'!$B$28,IF(D40&lt;=27,'Dynamic Adjustments'!$B$29,IF(D40&lt;=30,'Dynamic Adjustments'!$B$30,'Dynamic Adjustments'!$B$31))))</f>
        <v/>
      </c>
      <c r="H40" s="71" t="n">
        <v>1</v>
      </c>
      <c r="I40" s="71" t="n">
        <v>1</v>
      </c>
      <c r="J40" s="71" t="n">
        <v>1</v>
      </c>
      <c r="K40" s="71" t="n">
        <v>1</v>
      </c>
      <c r="L40" s="72">
        <f>E40*('Dynamic Adjustments'!$B$5*F40+'Dynamic Adjustments'!$B$6*Q40+'Dynamic Adjustments'!$B$7*H40+'Dynamic Adjustments'!$B$8*I40+'Dynamic Adjustments'!$B$9*J40+'Dynamic Adjustments'!$B$10*K40)</f>
        <v/>
      </c>
      <c r="M40" s="73">
        <f>P40*'League Settings'!$B$7</f>
        <v/>
      </c>
      <c r="N40" s="74">
        <f>(L40+M40)*R40</f>
        <v/>
      </c>
      <c r="O40" s="75">
        <f>IF(N40&gt;=85,"Elite",IF(N40&gt;=70,"Star",IF(N40&gt;=55,"Starter",IF(N40&gt;=40,"Flex",IF(N40&gt;=25,"Bench","Waiver")))))</f>
        <v/>
      </c>
      <c r="P40" s="76">
        <f>IF(C40="WR",1,IF(C40="TE",0.8,IF(C40="RB",0.5,0)))</f>
        <v/>
      </c>
      <c r="Q40" s="94">
        <f>IF('League Settings'!$B$19="Redraft",1,IF(OR(C40="DEF",C40="K",D40=0),1,IF(D40&lt;=24,'Dynamic Adjustments'!$B$28,IF(D40&lt;=27,'Dynamic Adjustments'!$B$29,IF(D40&lt;=30,'Dynamic Adjustments'!$B$30,'Dynamic Adjustments'!$B$31)))))</f>
        <v/>
      </c>
      <c r="R40" s="94" t="n">
        <v>1</v>
      </c>
    </row>
    <row r="41">
      <c r="A41" s="67" t="n">
        <v>38</v>
      </c>
      <c r="B41" s="68">
        <f>'Base Player Values'!B41</f>
        <v/>
      </c>
      <c r="C41" s="67">
        <f>'Base Player Values'!C41</f>
        <v/>
      </c>
      <c r="D41" s="67">
        <f>'Base Player Values'!E41</f>
        <v/>
      </c>
      <c r="E41" s="69">
        <f>'Base Player Values'!F41</f>
        <v/>
      </c>
      <c r="F41" s="70">
        <f>IFERROR(VLOOKUP(C41,'Dynamic Adjustments'!$A$18:$B$23,2,FALSE),1)</f>
        <v/>
      </c>
      <c r="G41" s="70">
        <f>IF(OR(C41="DEF",C41="K",D41=0),1,IF(D41&lt;=24,'Dynamic Adjustments'!$B$28,IF(D41&lt;=27,'Dynamic Adjustments'!$B$29,IF(D41&lt;=30,'Dynamic Adjustments'!$B$30,'Dynamic Adjustments'!$B$31))))</f>
        <v/>
      </c>
      <c r="H41" s="71" t="n">
        <v>1</v>
      </c>
      <c r="I41" s="71" t="n">
        <v>1</v>
      </c>
      <c r="J41" s="71" t="n">
        <v>1</v>
      </c>
      <c r="K41" s="71" t="n">
        <v>1</v>
      </c>
      <c r="L41" s="72">
        <f>E41*('Dynamic Adjustments'!$B$5*F41+'Dynamic Adjustments'!$B$6*Q41+'Dynamic Adjustments'!$B$7*H41+'Dynamic Adjustments'!$B$8*I41+'Dynamic Adjustments'!$B$9*J41+'Dynamic Adjustments'!$B$10*K41)</f>
        <v/>
      </c>
      <c r="M41" s="73">
        <f>P41*'League Settings'!$B$7</f>
        <v/>
      </c>
      <c r="N41" s="74">
        <f>(L41+M41)*R41</f>
        <v/>
      </c>
      <c r="O41" s="75">
        <f>IF(N41&gt;=85,"Elite",IF(N41&gt;=70,"Star",IF(N41&gt;=55,"Starter",IF(N41&gt;=40,"Flex",IF(N41&gt;=25,"Bench","Waiver")))))</f>
        <v/>
      </c>
      <c r="P41" s="76">
        <f>IF(C41="WR",1,IF(C41="TE",0.8,IF(C41="RB",0.5,0)))</f>
        <v/>
      </c>
      <c r="Q41" s="94">
        <f>IF('League Settings'!$B$19="Redraft",1,IF(OR(C41="DEF",C41="K",D41=0),1,IF(D41&lt;=24,'Dynamic Adjustments'!$B$28,IF(D41&lt;=27,'Dynamic Adjustments'!$B$29,IF(D41&lt;=30,'Dynamic Adjustments'!$B$30,'Dynamic Adjustments'!$B$31)))))</f>
        <v/>
      </c>
      <c r="R41" s="94" t="n">
        <v>1</v>
      </c>
    </row>
    <row r="42">
      <c r="A42" s="67" t="n">
        <v>39</v>
      </c>
      <c r="B42" s="68">
        <f>'Base Player Values'!B42</f>
        <v/>
      </c>
      <c r="C42" s="67">
        <f>'Base Player Values'!C42</f>
        <v/>
      </c>
      <c r="D42" s="67">
        <f>'Base Player Values'!E42</f>
        <v/>
      </c>
      <c r="E42" s="69">
        <f>'Base Player Values'!F42</f>
        <v/>
      </c>
      <c r="F42" s="70">
        <f>IFERROR(VLOOKUP(C42,'Dynamic Adjustments'!$A$18:$B$23,2,FALSE),1)</f>
        <v/>
      </c>
      <c r="G42" s="70">
        <f>IF(OR(C42="DEF",C42="K",D42=0),1,IF(D42&lt;=24,'Dynamic Adjustments'!$B$28,IF(D42&lt;=27,'Dynamic Adjustments'!$B$29,IF(D42&lt;=30,'Dynamic Adjustments'!$B$30,'Dynamic Adjustments'!$B$31))))</f>
        <v/>
      </c>
      <c r="H42" s="71" t="n">
        <v>1</v>
      </c>
      <c r="I42" s="71" t="n">
        <v>1</v>
      </c>
      <c r="J42" s="71" t="n">
        <v>1</v>
      </c>
      <c r="K42" s="71" t="n">
        <v>1</v>
      </c>
      <c r="L42" s="72">
        <f>E42*('Dynamic Adjustments'!$B$5*F42+'Dynamic Adjustments'!$B$6*Q42+'Dynamic Adjustments'!$B$7*H42+'Dynamic Adjustments'!$B$8*I42+'Dynamic Adjustments'!$B$9*J42+'Dynamic Adjustments'!$B$10*K42)</f>
        <v/>
      </c>
      <c r="M42" s="73">
        <f>P42*'League Settings'!$B$7</f>
        <v/>
      </c>
      <c r="N42" s="74">
        <f>(L42+M42)*R42</f>
        <v/>
      </c>
      <c r="O42" s="75">
        <f>IF(N42&gt;=85,"Elite",IF(N42&gt;=70,"Star",IF(N42&gt;=55,"Starter",IF(N42&gt;=40,"Flex",IF(N42&gt;=25,"Bench","Waiver")))))</f>
        <v/>
      </c>
      <c r="P42" s="76">
        <f>IF(C42="WR",1,IF(C42="TE",0.8,IF(C42="RB",0.5,0)))</f>
        <v/>
      </c>
      <c r="Q42" s="94">
        <f>IF('League Settings'!$B$19="Redraft",1,IF(OR(C42="DEF",C42="K",D42=0),1,IF(D42&lt;=24,'Dynamic Adjustments'!$B$28,IF(D42&lt;=27,'Dynamic Adjustments'!$B$29,IF(D42&lt;=30,'Dynamic Adjustments'!$B$30,'Dynamic Adjustments'!$B$31)))))</f>
        <v/>
      </c>
      <c r="R42" s="94" t="n">
        <v>1</v>
      </c>
    </row>
    <row r="43">
      <c r="A43" s="67" t="n">
        <v>40</v>
      </c>
      <c r="B43" s="68">
        <f>'Base Player Values'!B43</f>
        <v/>
      </c>
      <c r="C43" s="67">
        <f>'Base Player Values'!C43</f>
        <v/>
      </c>
      <c r="D43" s="67">
        <f>'Base Player Values'!E43</f>
        <v/>
      </c>
      <c r="E43" s="69">
        <f>'Base Player Values'!F43</f>
        <v/>
      </c>
      <c r="F43" s="70">
        <f>IFERROR(VLOOKUP(C43,'Dynamic Adjustments'!$A$18:$B$23,2,FALSE),1)</f>
        <v/>
      </c>
      <c r="G43" s="70">
        <f>IF(OR(C43="DEF",C43="K",D43=0),1,IF(D43&lt;=24,'Dynamic Adjustments'!$B$28,IF(D43&lt;=27,'Dynamic Adjustments'!$B$29,IF(D43&lt;=30,'Dynamic Adjustments'!$B$30,'Dynamic Adjustments'!$B$31))))</f>
        <v/>
      </c>
      <c r="H43" s="71" t="n">
        <v>1</v>
      </c>
      <c r="I43" s="71" t="n">
        <v>1</v>
      </c>
      <c r="J43" s="71" t="n">
        <v>1</v>
      </c>
      <c r="K43" s="71" t="n">
        <v>1</v>
      </c>
      <c r="L43" s="72">
        <f>E43*('Dynamic Adjustments'!$B$5*F43+'Dynamic Adjustments'!$B$6*Q43+'Dynamic Adjustments'!$B$7*H43+'Dynamic Adjustments'!$B$8*I43+'Dynamic Adjustments'!$B$9*J43+'Dynamic Adjustments'!$B$10*K43)</f>
        <v/>
      </c>
      <c r="M43" s="73">
        <f>P43*'League Settings'!$B$7</f>
        <v/>
      </c>
      <c r="N43" s="74">
        <f>(L43+M43)*R43</f>
        <v/>
      </c>
      <c r="O43" s="75">
        <f>IF(N43&gt;=85,"Elite",IF(N43&gt;=70,"Star",IF(N43&gt;=55,"Starter",IF(N43&gt;=40,"Flex",IF(N43&gt;=25,"Bench","Waiver")))))</f>
        <v/>
      </c>
      <c r="P43" s="76">
        <f>IF(C43="WR",1,IF(C43="TE",0.8,IF(C43="RB",0.5,0)))</f>
        <v/>
      </c>
      <c r="Q43" s="94">
        <f>IF('League Settings'!$B$19="Redraft",1,IF(OR(C43="DEF",C43="K",D43=0),1,IF(D43&lt;=24,'Dynamic Adjustments'!$B$28,IF(D43&lt;=27,'Dynamic Adjustments'!$B$29,IF(D43&lt;=30,'Dynamic Adjustments'!$B$30,'Dynamic Adjustments'!$B$31)))))</f>
        <v/>
      </c>
      <c r="R43" s="94" t="n">
        <v>1</v>
      </c>
    </row>
    <row r="44">
      <c r="A44" s="67" t="n">
        <v>41</v>
      </c>
      <c r="B44" s="68">
        <f>'Base Player Values'!B44</f>
        <v/>
      </c>
      <c r="C44" s="67">
        <f>'Base Player Values'!C44</f>
        <v/>
      </c>
      <c r="D44" s="67">
        <f>'Base Player Values'!E44</f>
        <v/>
      </c>
      <c r="E44" s="69">
        <f>'Base Player Values'!F44</f>
        <v/>
      </c>
      <c r="F44" s="70">
        <f>IFERROR(VLOOKUP(C44,'Dynamic Adjustments'!$A$18:$B$23,2,FALSE),1)</f>
        <v/>
      </c>
      <c r="G44" s="70">
        <f>IF(OR(C44="DEF",C44="K",D44=0),1,IF(D44&lt;=24,'Dynamic Adjustments'!$B$28,IF(D44&lt;=27,'Dynamic Adjustments'!$B$29,IF(D44&lt;=30,'Dynamic Adjustments'!$B$30,'Dynamic Adjustments'!$B$31))))</f>
        <v/>
      </c>
      <c r="H44" s="71" t="n">
        <v>1</v>
      </c>
      <c r="I44" s="71" t="n">
        <v>1</v>
      </c>
      <c r="J44" s="71" t="n">
        <v>1</v>
      </c>
      <c r="K44" s="71" t="n">
        <v>1</v>
      </c>
      <c r="L44" s="72">
        <f>E44*('Dynamic Adjustments'!$B$5*F44+'Dynamic Adjustments'!$B$6*Q44+'Dynamic Adjustments'!$B$7*H44+'Dynamic Adjustments'!$B$8*I44+'Dynamic Adjustments'!$B$9*J44+'Dynamic Adjustments'!$B$10*K44)</f>
        <v/>
      </c>
      <c r="M44" s="73">
        <f>P44*'League Settings'!$B$7</f>
        <v/>
      </c>
      <c r="N44" s="74">
        <f>(L44+M44)*R44</f>
        <v/>
      </c>
      <c r="O44" s="75">
        <f>IF(N44&gt;=85,"Elite",IF(N44&gt;=70,"Star",IF(N44&gt;=55,"Starter",IF(N44&gt;=40,"Flex",IF(N44&gt;=25,"Bench","Waiver")))))</f>
        <v/>
      </c>
      <c r="P44" s="76">
        <f>IF(C44="WR",1,IF(C44="TE",0.8,IF(C44="RB",0.5,0)))</f>
        <v/>
      </c>
      <c r="Q44" s="94">
        <f>IF('League Settings'!$B$19="Redraft",1,IF(OR(C44="DEF",C44="K",D44=0),1,IF(D44&lt;=24,'Dynamic Adjustments'!$B$28,IF(D44&lt;=27,'Dynamic Adjustments'!$B$29,IF(D44&lt;=30,'Dynamic Adjustments'!$B$30,'Dynamic Adjustments'!$B$31)))))</f>
        <v/>
      </c>
      <c r="R44" s="94" t="n">
        <v>1</v>
      </c>
    </row>
    <row r="45">
      <c r="A45" s="67" t="n">
        <v>42</v>
      </c>
      <c r="B45" s="68">
        <f>'Base Player Values'!B45</f>
        <v/>
      </c>
      <c r="C45" s="67">
        <f>'Base Player Values'!C45</f>
        <v/>
      </c>
      <c r="D45" s="67">
        <f>'Base Player Values'!E45</f>
        <v/>
      </c>
      <c r="E45" s="69">
        <f>'Base Player Values'!F45</f>
        <v/>
      </c>
      <c r="F45" s="70">
        <f>IFERROR(VLOOKUP(C45,'Dynamic Adjustments'!$A$18:$B$23,2,FALSE),1)</f>
        <v/>
      </c>
      <c r="G45" s="70">
        <f>IF(OR(C45="DEF",C45="K",D45=0),1,IF(D45&lt;=24,'Dynamic Adjustments'!$B$28,IF(D45&lt;=27,'Dynamic Adjustments'!$B$29,IF(D45&lt;=30,'Dynamic Adjustments'!$B$30,'Dynamic Adjustments'!$B$31))))</f>
        <v/>
      </c>
      <c r="H45" s="71" t="n">
        <v>1</v>
      </c>
      <c r="I45" s="71" t="n">
        <v>1</v>
      </c>
      <c r="J45" s="71" t="n">
        <v>1</v>
      </c>
      <c r="K45" s="71" t="n">
        <v>1</v>
      </c>
      <c r="L45" s="72">
        <f>E45*('Dynamic Adjustments'!$B$5*F45+'Dynamic Adjustments'!$B$6*Q45+'Dynamic Adjustments'!$B$7*H45+'Dynamic Adjustments'!$B$8*I45+'Dynamic Adjustments'!$B$9*J45+'Dynamic Adjustments'!$B$10*K45)</f>
        <v/>
      </c>
      <c r="M45" s="73">
        <f>P45*'League Settings'!$B$7</f>
        <v/>
      </c>
      <c r="N45" s="74">
        <f>(L45+M45)*R45</f>
        <v/>
      </c>
      <c r="O45" s="75">
        <f>IF(N45&gt;=85,"Elite",IF(N45&gt;=70,"Star",IF(N45&gt;=55,"Starter",IF(N45&gt;=40,"Flex",IF(N45&gt;=25,"Bench","Waiver")))))</f>
        <v/>
      </c>
      <c r="P45" s="76">
        <f>IF(C45="WR",1,IF(C45="TE",0.8,IF(C45="RB",0.5,0)))</f>
        <v/>
      </c>
      <c r="Q45" s="94">
        <f>IF('League Settings'!$B$19="Redraft",1,IF(OR(C45="DEF",C45="K",D45=0),1,IF(D45&lt;=24,'Dynamic Adjustments'!$B$28,IF(D45&lt;=27,'Dynamic Adjustments'!$B$29,IF(D45&lt;=30,'Dynamic Adjustments'!$B$30,'Dynamic Adjustments'!$B$31)))))</f>
        <v/>
      </c>
      <c r="R45" s="94" t="n">
        <v>1</v>
      </c>
    </row>
    <row r="46">
      <c r="A46" s="67" t="n">
        <v>43</v>
      </c>
      <c r="B46" s="68">
        <f>'Base Player Values'!B46</f>
        <v/>
      </c>
      <c r="C46" s="67">
        <f>'Base Player Values'!C46</f>
        <v/>
      </c>
      <c r="D46" s="67">
        <f>'Base Player Values'!E46</f>
        <v/>
      </c>
      <c r="E46" s="69">
        <f>'Base Player Values'!F46</f>
        <v/>
      </c>
      <c r="F46" s="70">
        <f>IFERROR(VLOOKUP(C46,'Dynamic Adjustments'!$A$18:$B$23,2,FALSE),1)</f>
        <v/>
      </c>
      <c r="G46" s="70">
        <f>IF(OR(C46="DEF",C46="K",D46=0),1,IF(D46&lt;=24,'Dynamic Adjustments'!$B$28,IF(D46&lt;=27,'Dynamic Adjustments'!$B$29,IF(D46&lt;=30,'Dynamic Adjustments'!$B$30,'Dynamic Adjustments'!$B$31))))</f>
        <v/>
      </c>
      <c r="H46" s="71" t="n">
        <v>1</v>
      </c>
      <c r="I46" s="71" t="n">
        <v>1</v>
      </c>
      <c r="J46" s="71" t="n">
        <v>1</v>
      </c>
      <c r="K46" s="71" t="n">
        <v>1</v>
      </c>
      <c r="L46" s="72">
        <f>E46*('Dynamic Adjustments'!$B$5*F46+'Dynamic Adjustments'!$B$6*Q46+'Dynamic Adjustments'!$B$7*H46+'Dynamic Adjustments'!$B$8*I46+'Dynamic Adjustments'!$B$9*J46+'Dynamic Adjustments'!$B$10*K46)</f>
        <v/>
      </c>
      <c r="M46" s="73">
        <f>P46*'League Settings'!$B$7</f>
        <v/>
      </c>
      <c r="N46" s="74">
        <f>(L46+M46)*R46</f>
        <v/>
      </c>
      <c r="O46" s="75">
        <f>IF(N46&gt;=85,"Elite",IF(N46&gt;=70,"Star",IF(N46&gt;=55,"Starter",IF(N46&gt;=40,"Flex",IF(N46&gt;=25,"Bench","Waiver")))))</f>
        <v/>
      </c>
      <c r="P46" s="76">
        <f>IF(C46="WR",1,IF(C46="TE",0.8,IF(C46="RB",0.5,0)))</f>
        <v/>
      </c>
      <c r="Q46" s="94">
        <f>IF('League Settings'!$B$19="Redraft",1,IF(OR(C46="DEF",C46="K",D46=0),1,IF(D46&lt;=24,'Dynamic Adjustments'!$B$28,IF(D46&lt;=27,'Dynamic Adjustments'!$B$29,IF(D46&lt;=30,'Dynamic Adjustments'!$B$30,'Dynamic Adjustments'!$B$31)))))</f>
        <v/>
      </c>
      <c r="R46" s="94" t="n">
        <v>1</v>
      </c>
    </row>
    <row r="47">
      <c r="A47" s="67" t="n">
        <v>44</v>
      </c>
      <c r="B47" s="68">
        <f>'Base Player Values'!B47</f>
        <v/>
      </c>
      <c r="C47" s="67">
        <f>'Base Player Values'!C47</f>
        <v/>
      </c>
      <c r="D47" s="67">
        <f>'Base Player Values'!E47</f>
        <v/>
      </c>
      <c r="E47" s="69">
        <f>'Base Player Values'!F47</f>
        <v/>
      </c>
      <c r="F47" s="70">
        <f>IFERROR(VLOOKUP(C47,'Dynamic Adjustments'!$A$18:$B$23,2,FALSE),1)</f>
        <v/>
      </c>
      <c r="G47" s="70">
        <f>IF(OR(C47="DEF",C47="K",D47=0),1,IF(D47&lt;=24,'Dynamic Adjustments'!$B$28,IF(D47&lt;=27,'Dynamic Adjustments'!$B$29,IF(D47&lt;=30,'Dynamic Adjustments'!$B$30,'Dynamic Adjustments'!$B$31))))</f>
        <v/>
      </c>
      <c r="H47" s="71" t="n">
        <v>1</v>
      </c>
      <c r="I47" s="71" t="n">
        <v>1</v>
      </c>
      <c r="J47" s="71" t="n">
        <v>1</v>
      </c>
      <c r="K47" s="71" t="n">
        <v>1</v>
      </c>
      <c r="L47" s="72">
        <f>E47*('Dynamic Adjustments'!$B$5*F47+'Dynamic Adjustments'!$B$6*Q47+'Dynamic Adjustments'!$B$7*H47+'Dynamic Adjustments'!$B$8*I47+'Dynamic Adjustments'!$B$9*J47+'Dynamic Adjustments'!$B$10*K47)</f>
        <v/>
      </c>
      <c r="M47" s="73">
        <f>P47*'League Settings'!$B$7</f>
        <v/>
      </c>
      <c r="N47" s="74">
        <f>(L47+M47)*R47</f>
        <v/>
      </c>
      <c r="O47" s="75">
        <f>IF(N47&gt;=85,"Elite",IF(N47&gt;=70,"Star",IF(N47&gt;=55,"Starter",IF(N47&gt;=40,"Flex",IF(N47&gt;=25,"Bench","Waiver")))))</f>
        <v/>
      </c>
      <c r="P47" s="76">
        <f>IF(C47="WR",1,IF(C47="TE",0.8,IF(C47="RB",0.5,0)))</f>
        <v/>
      </c>
      <c r="Q47" s="94">
        <f>IF('League Settings'!$B$19="Redraft",1,IF(OR(C47="DEF",C47="K",D47=0),1,IF(D47&lt;=24,'Dynamic Adjustments'!$B$28,IF(D47&lt;=27,'Dynamic Adjustments'!$B$29,IF(D47&lt;=30,'Dynamic Adjustments'!$B$30,'Dynamic Adjustments'!$B$31)))))</f>
        <v/>
      </c>
      <c r="R47" s="94" t="n">
        <v>1</v>
      </c>
    </row>
    <row r="48">
      <c r="A48" s="67" t="n">
        <v>45</v>
      </c>
      <c r="B48" s="68">
        <f>'Base Player Values'!B48</f>
        <v/>
      </c>
      <c r="C48" s="67">
        <f>'Base Player Values'!C48</f>
        <v/>
      </c>
      <c r="D48" s="67">
        <f>'Base Player Values'!E48</f>
        <v/>
      </c>
      <c r="E48" s="69">
        <f>'Base Player Values'!F48</f>
        <v/>
      </c>
      <c r="F48" s="70">
        <f>IFERROR(VLOOKUP(C48,'Dynamic Adjustments'!$A$18:$B$23,2,FALSE),1)</f>
        <v/>
      </c>
      <c r="G48" s="70">
        <f>IF(OR(C48="DEF",C48="K",D48=0),1,IF(D48&lt;=24,'Dynamic Adjustments'!$B$28,IF(D48&lt;=27,'Dynamic Adjustments'!$B$29,IF(D48&lt;=30,'Dynamic Adjustments'!$B$30,'Dynamic Adjustments'!$B$31))))</f>
        <v/>
      </c>
      <c r="H48" s="71" t="n">
        <v>1</v>
      </c>
      <c r="I48" s="71" t="n">
        <v>1</v>
      </c>
      <c r="J48" s="71" t="n">
        <v>1</v>
      </c>
      <c r="K48" s="71" t="n">
        <v>1</v>
      </c>
      <c r="L48" s="72">
        <f>E48*('Dynamic Adjustments'!$B$5*F48+'Dynamic Adjustments'!$B$6*Q48+'Dynamic Adjustments'!$B$7*H48+'Dynamic Adjustments'!$B$8*I48+'Dynamic Adjustments'!$B$9*J48+'Dynamic Adjustments'!$B$10*K48)</f>
        <v/>
      </c>
      <c r="M48" s="73">
        <f>P48*'League Settings'!$B$7</f>
        <v/>
      </c>
      <c r="N48" s="74">
        <f>(L48+M48)*R48</f>
        <v/>
      </c>
      <c r="O48" s="75">
        <f>IF(N48&gt;=85,"Elite",IF(N48&gt;=70,"Star",IF(N48&gt;=55,"Starter",IF(N48&gt;=40,"Flex",IF(N48&gt;=25,"Bench","Waiver")))))</f>
        <v/>
      </c>
      <c r="P48" s="76">
        <f>IF(C48="WR",1,IF(C48="TE",0.8,IF(C48="RB",0.5,0)))</f>
        <v/>
      </c>
      <c r="Q48" s="94">
        <f>IF('League Settings'!$B$19="Redraft",1,IF(OR(C48="DEF",C48="K",D48=0),1,IF(D48&lt;=24,'Dynamic Adjustments'!$B$28,IF(D48&lt;=27,'Dynamic Adjustments'!$B$29,IF(D48&lt;=30,'Dynamic Adjustments'!$B$30,'Dynamic Adjustments'!$B$31)))))</f>
        <v/>
      </c>
      <c r="R48" s="94" t="n">
        <v>1</v>
      </c>
    </row>
    <row r="49">
      <c r="A49" s="67" t="n">
        <v>46</v>
      </c>
      <c r="B49" s="68">
        <f>'Base Player Values'!B49</f>
        <v/>
      </c>
      <c r="C49" s="67">
        <f>'Base Player Values'!C49</f>
        <v/>
      </c>
      <c r="D49" s="67">
        <f>'Base Player Values'!E49</f>
        <v/>
      </c>
      <c r="E49" s="69">
        <f>'Base Player Values'!F49</f>
        <v/>
      </c>
      <c r="F49" s="70">
        <f>IFERROR(VLOOKUP(C49,'Dynamic Adjustments'!$A$18:$B$23,2,FALSE),1)</f>
        <v/>
      </c>
      <c r="G49" s="70">
        <f>IF(OR(C49="DEF",C49="K",D49=0),1,IF(D49&lt;=24,'Dynamic Adjustments'!$B$28,IF(D49&lt;=27,'Dynamic Adjustments'!$B$29,IF(D49&lt;=30,'Dynamic Adjustments'!$B$30,'Dynamic Adjustments'!$B$31))))</f>
        <v/>
      </c>
      <c r="H49" s="71" t="n">
        <v>1</v>
      </c>
      <c r="I49" s="71" t="n">
        <v>1</v>
      </c>
      <c r="J49" s="71" t="n">
        <v>1</v>
      </c>
      <c r="K49" s="71" t="n">
        <v>1</v>
      </c>
      <c r="L49" s="72">
        <f>E49*('Dynamic Adjustments'!$B$5*F49+'Dynamic Adjustments'!$B$6*Q49+'Dynamic Adjustments'!$B$7*H49+'Dynamic Adjustments'!$B$8*I49+'Dynamic Adjustments'!$B$9*J49+'Dynamic Adjustments'!$B$10*K49)</f>
        <v/>
      </c>
      <c r="M49" s="73">
        <f>P49*'League Settings'!$B$7</f>
        <v/>
      </c>
      <c r="N49" s="74">
        <f>(L49+M49)*R49</f>
        <v/>
      </c>
      <c r="O49" s="75">
        <f>IF(N49&gt;=85,"Elite",IF(N49&gt;=70,"Star",IF(N49&gt;=55,"Starter",IF(N49&gt;=40,"Flex",IF(N49&gt;=25,"Bench","Waiver")))))</f>
        <v/>
      </c>
      <c r="P49" s="76">
        <f>IF(C49="WR",1,IF(C49="TE",0.8,IF(C49="RB",0.5,0)))</f>
        <v/>
      </c>
      <c r="Q49" s="94">
        <f>IF('League Settings'!$B$19="Redraft",1,IF(OR(C49="DEF",C49="K",D49=0),1,IF(D49&lt;=24,'Dynamic Adjustments'!$B$28,IF(D49&lt;=27,'Dynamic Adjustments'!$B$29,IF(D49&lt;=30,'Dynamic Adjustments'!$B$30,'Dynamic Adjustments'!$B$31)))))</f>
        <v/>
      </c>
      <c r="R49" s="94" t="n">
        <v>1</v>
      </c>
    </row>
    <row r="50">
      <c r="A50" s="67" t="n">
        <v>47</v>
      </c>
      <c r="B50" s="68">
        <f>'Base Player Values'!B50</f>
        <v/>
      </c>
      <c r="C50" s="67">
        <f>'Base Player Values'!C50</f>
        <v/>
      </c>
      <c r="D50" s="67">
        <f>'Base Player Values'!E50</f>
        <v/>
      </c>
      <c r="E50" s="69">
        <f>'Base Player Values'!F50</f>
        <v/>
      </c>
      <c r="F50" s="70">
        <f>IFERROR(VLOOKUP(C50,'Dynamic Adjustments'!$A$18:$B$23,2,FALSE),1)</f>
        <v/>
      </c>
      <c r="G50" s="70">
        <f>IF(OR(C50="DEF",C50="K",D50=0),1,IF(D50&lt;=24,'Dynamic Adjustments'!$B$28,IF(D50&lt;=27,'Dynamic Adjustments'!$B$29,IF(D50&lt;=30,'Dynamic Adjustments'!$B$30,'Dynamic Adjustments'!$B$31))))</f>
        <v/>
      </c>
      <c r="H50" s="71" t="n">
        <v>1</v>
      </c>
      <c r="I50" s="71" t="n">
        <v>1</v>
      </c>
      <c r="J50" s="71" t="n">
        <v>1</v>
      </c>
      <c r="K50" s="71" t="n">
        <v>1</v>
      </c>
      <c r="L50" s="72">
        <f>E50*('Dynamic Adjustments'!$B$5*F50+'Dynamic Adjustments'!$B$6*Q50+'Dynamic Adjustments'!$B$7*H50+'Dynamic Adjustments'!$B$8*I50+'Dynamic Adjustments'!$B$9*J50+'Dynamic Adjustments'!$B$10*K50)</f>
        <v/>
      </c>
      <c r="M50" s="73">
        <f>P50*'League Settings'!$B$7</f>
        <v/>
      </c>
      <c r="N50" s="74">
        <f>(L50+M50)*R50</f>
        <v/>
      </c>
      <c r="O50" s="75">
        <f>IF(N50&gt;=85,"Elite",IF(N50&gt;=70,"Star",IF(N50&gt;=55,"Starter",IF(N50&gt;=40,"Flex",IF(N50&gt;=25,"Bench","Waiver")))))</f>
        <v/>
      </c>
      <c r="P50" s="76">
        <f>IF(C50="WR",1,IF(C50="TE",0.8,IF(C50="RB",0.5,0)))</f>
        <v/>
      </c>
      <c r="Q50" s="94">
        <f>IF('League Settings'!$B$19="Redraft",1,IF(OR(C50="DEF",C50="K",D50=0),1,IF(D50&lt;=24,'Dynamic Adjustments'!$B$28,IF(D50&lt;=27,'Dynamic Adjustments'!$B$29,IF(D50&lt;=30,'Dynamic Adjustments'!$B$30,'Dynamic Adjustments'!$B$31)))))</f>
        <v/>
      </c>
      <c r="R50" s="94" t="n">
        <v>1</v>
      </c>
    </row>
    <row r="51">
      <c r="A51" s="67" t="n">
        <v>48</v>
      </c>
      <c r="B51" s="68">
        <f>'Base Player Values'!B51</f>
        <v/>
      </c>
      <c r="C51" s="67">
        <f>'Base Player Values'!C51</f>
        <v/>
      </c>
      <c r="D51" s="67">
        <f>'Base Player Values'!E51</f>
        <v/>
      </c>
      <c r="E51" s="69">
        <f>'Base Player Values'!F51</f>
        <v/>
      </c>
      <c r="F51" s="70">
        <f>IFERROR(VLOOKUP(C51,'Dynamic Adjustments'!$A$18:$B$23,2,FALSE),1)</f>
        <v/>
      </c>
      <c r="G51" s="70">
        <f>IF(OR(C51="DEF",C51="K",D51=0),1,IF(D51&lt;=24,'Dynamic Adjustments'!$B$28,IF(D51&lt;=27,'Dynamic Adjustments'!$B$29,IF(D51&lt;=30,'Dynamic Adjustments'!$B$30,'Dynamic Adjustments'!$B$31))))</f>
        <v/>
      </c>
      <c r="H51" s="71" t="n">
        <v>1</v>
      </c>
      <c r="I51" s="71" t="n">
        <v>1</v>
      </c>
      <c r="J51" s="71" t="n">
        <v>1</v>
      </c>
      <c r="K51" s="71" t="n">
        <v>1</v>
      </c>
      <c r="L51" s="72">
        <f>E51*('Dynamic Adjustments'!$B$5*F51+'Dynamic Adjustments'!$B$6*Q51+'Dynamic Adjustments'!$B$7*H51+'Dynamic Adjustments'!$B$8*I51+'Dynamic Adjustments'!$B$9*J51+'Dynamic Adjustments'!$B$10*K51)</f>
        <v/>
      </c>
      <c r="M51" s="73">
        <f>P51*'League Settings'!$B$7</f>
        <v/>
      </c>
      <c r="N51" s="74">
        <f>(L51+M51)*R51</f>
        <v/>
      </c>
      <c r="O51" s="75">
        <f>IF(N51&gt;=85,"Elite",IF(N51&gt;=70,"Star",IF(N51&gt;=55,"Starter",IF(N51&gt;=40,"Flex",IF(N51&gt;=25,"Bench","Waiver")))))</f>
        <v/>
      </c>
      <c r="P51" s="76">
        <f>IF(C51="WR",1,IF(C51="TE",0.8,IF(C51="RB",0.5,0)))</f>
        <v/>
      </c>
      <c r="Q51" s="94">
        <f>IF('League Settings'!$B$19="Redraft",1,IF(OR(C51="DEF",C51="K",D51=0),1,IF(D51&lt;=24,'Dynamic Adjustments'!$B$28,IF(D51&lt;=27,'Dynamic Adjustments'!$B$29,IF(D51&lt;=30,'Dynamic Adjustments'!$B$30,'Dynamic Adjustments'!$B$31)))))</f>
        <v/>
      </c>
      <c r="R51" s="94" t="n">
        <v>1</v>
      </c>
    </row>
    <row r="52">
      <c r="A52" s="67" t="n">
        <v>49</v>
      </c>
      <c r="B52" s="68">
        <f>'Base Player Values'!B52</f>
        <v/>
      </c>
      <c r="C52" s="67">
        <f>'Base Player Values'!C52</f>
        <v/>
      </c>
      <c r="D52" s="67">
        <f>'Base Player Values'!E52</f>
        <v/>
      </c>
      <c r="E52" s="69">
        <f>'Base Player Values'!F52</f>
        <v/>
      </c>
      <c r="F52" s="70">
        <f>IFERROR(VLOOKUP(C52,'Dynamic Adjustments'!$A$18:$B$23,2,FALSE),1)</f>
        <v/>
      </c>
      <c r="G52" s="70">
        <f>IF(OR(C52="DEF",C52="K",D52=0),1,IF(D52&lt;=24,'Dynamic Adjustments'!$B$28,IF(D52&lt;=27,'Dynamic Adjustments'!$B$29,IF(D52&lt;=30,'Dynamic Adjustments'!$B$30,'Dynamic Adjustments'!$B$31))))</f>
        <v/>
      </c>
      <c r="H52" s="71" t="n">
        <v>1</v>
      </c>
      <c r="I52" s="71" t="n">
        <v>1</v>
      </c>
      <c r="J52" s="71" t="n">
        <v>1</v>
      </c>
      <c r="K52" s="71" t="n">
        <v>1</v>
      </c>
      <c r="L52" s="72">
        <f>E52*('Dynamic Adjustments'!$B$5*F52+'Dynamic Adjustments'!$B$6*Q52+'Dynamic Adjustments'!$B$7*H52+'Dynamic Adjustments'!$B$8*I52+'Dynamic Adjustments'!$B$9*J52+'Dynamic Adjustments'!$B$10*K52)</f>
        <v/>
      </c>
      <c r="M52" s="73">
        <f>P52*'League Settings'!$B$7</f>
        <v/>
      </c>
      <c r="N52" s="74">
        <f>(L52+M52)*R52</f>
        <v/>
      </c>
      <c r="O52" s="75">
        <f>IF(N52&gt;=85,"Elite",IF(N52&gt;=70,"Star",IF(N52&gt;=55,"Starter",IF(N52&gt;=40,"Flex",IF(N52&gt;=25,"Bench","Waiver")))))</f>
        <v/>
      </c>
      <c r="P52" s="76">
        <f>IF(C52="WR",1,IF(C52="TE",0.8,IF(C52="RB",0.5,0)))</f>
        <v/>
      </c>
      <c r="Q52" s="94">
        <f>IF('League Settings'!$B$19="Redraft",1,IF(OR(C52="DEF",C52="K",D52=0),1,IF(D52&lt;=24,'Dynamic Adjustments'!$B$28,IF(D52&lt;=27,'Dynamic Adjustments'!$B$29,IF(D52&lt;=30,'Dynamic Adjustments'!$B$30,'Dynamic Adjustments'!$B$31)))))</f>
        <v/>
      </c>
      <c r="R52" s="94" t="n">
        <v>1</v>
      </c>
    </row>
    <row r="53">
      <c r="A53" s="67" t="n">
        <v>50</v>
      </c>
      <c r="B53" s="68">
        <f>'Base Player Values'!B53</f>
        <v/>
      </c>
      <c r="C53" s="67">
        <f>'Base Player Values'!C53</f>
        <v/>
      </c>
      <c r="D53" s="67">
        <f>'Base Player Values'!E53</f>
        <v/>
      </c>
      <c r="E53" s="69">
        <f>'Base Player Values'!F53</f>
        <v/>
      </c>
      <c r="F53" s="70">
        <f>IFERROR(VLOOKUP(C53,'Dynamic Adjustments'!$A$18:$B$23,2,FALSE),1)</f>
        <v/>
      </c>
      <c r="G53" s="70">
        <f>IF(OR(C53="DEF",C53="K",D53=0),1,IF(D53&lt;=24,'Dynamic Adjustments'!$B$28,IF(D53&lt;=27,'Dynamic Adjustments'!$B$29,IF(D53&lt;=30,'Dynamic Adjustments'!$B$30,'Dynamic Adjustments'!$B$31))))</f>
        <v/>
      </c>
      <c r="H53" s="71" t="n">
        <v>1</v>
      </c>
      <c r="I53" s="71" t="n">
        <v>1</v>
      </c>
      <c r="J53" s="71" t="n">
        <v>1</v>
      </c>
      <c r="K53" s="71" t="n">
        <v>1</v>
      </c>
      <c r="L53" s="72">
        <f>E53*('Dynamic Adjustments'!$B$5*F53+'Dynamic Adjustments'!$B$6*Q53+'Dynamic Adjustments'!$B$7*H53+'Dynamic Adjustments'!$B$8*I53+'Dynamic Adjustments'!$B$9*J53+'Dynamic Adjustments'!$B$10*K53)</f>
        <v/>
      </c>
      <c r="M53" s="73">
        <f>P53*'League Settings'!$B$7</f>
        <v/>
      </c>
      <c r="N53" s="74">
        <f>(L53+M53)*R53</f>
        <v/>
      </c>
      <c r="O53" s="75">
        <f>IF(N53&gt;=85,"Elite",IF(N53&gt;=70,"Star",IF(N53&gt;=55,"Starter",IF(N53&gt;=40,"Flex",IF(N53&gt;=25,"Bench","Waiver")))))</f>
        <v/>
      </c>
      <c r="P53" s="76">
        <f>IF(C53="WR",1,IF(C53="TE",0.8,IF(C53="RB",0.5,0)))</f>
        <v/>
      </c>
      <c r="Q53" s="94">
        <f>IF('League Settings'!$B$19="Redraft",1,IF(OR(C53="DEF",C53="K",D53=0),1,IF(D53&lt;=24,'Dynamic Adjustments'!$B$28,IF(D53&lt;=27,'Dynamic Adjustments'!$B$29,IF(D53&lt;=30,'Dynamic Adjustments'!$B$30,'Dynamic Adjustments'!$B$31)))))</f>
        <v/>
      </c>
      <c r="R53" s="94" t="n">
        <v>1</v>
      </c>
    </row>
    <row r="54">
      <c r="A54" s="67" t="n">
        <v>51</v>
      </c>
      <c r="B54" s="68">
        <f>'Base Player Values'!B54</f>
        <v/>
      </c>
      <c r="C54" s="67">
        <f>'Base Player Values'!C54</f>
        <v/>
      </c>
      <c r="D54" s="67">
        <f>'Base Player Values'!E54</f>
        <v/>
      </c>
      <c r="E54" s="69">
        <f>'Base Player Values'!F54</f>
        <v/>
      </c>
      <c r="F54" s="70">
        <f>IFERROR(VLOOKUP(C54,'Dynamic Adjustments'!$A$18:$B$23,2,FALSE),1)</f>
        <v/>
      </c>
      <c r="G54" s="70">
        <f>IF(OR(C54="DEF",C54="K",D54=0),1,IF(D54&lt;=24,'Dynamic Adjustments'!$B$28,IF(D54&lt;=27,'Dynamic Adjustments'!$B$29,IF(D54&lt;=30,'Dynamic Adjustments'!$B$30,'Dynamic Adjustments'!$B$31))))</f>
        <v/>
      </c>
      <c r="H54" s="71" t="n">
        <v>1</v>
      </c>
      <c r="I54" s="71" t="n">
        <v>1</v>
      </c>
      <c r="J54" s="71" t="n">
        <v>1</v>
      </c>
      <c r="K54" s="71" t="n">
        <v>1</v>
      </c>
      <c r="L54" s="72">
        <f>E54*('Dynamic Adjustments'!$B$5*F54+'Dynamic Adjustments'!$B$6*Q54+'Dynamic Adjustments'!$B$7*H54+'Dynamic Adjustments'!$B$8*I54+'Dynamic Adjustments'!$B$9*J54+'Dynamic Adjustments'!$B$10*K54)</f>
        <v/>
      </c>
      <c r="M54" s="73">
        <f>P54*'League Settings'!$B$7</f>
        <v/>
      </c>
      <c r="N54" s="74">
        <f>(L54+M54)*R54</f>
        <v/>
      </c>
      <c r="O54" s="75">
        <f>IF(N54&gt;=85,"Elite",IF(N54&gt;=70,"Star",IF(N54&gt;=55,"Starter",IF(N54&gt;=40,"Flex",IF(N54&gt;=25,"Bench","Waiver")))))</f>
        <v/>
      </c>
      <c r="P54" s="76">
        <f>IF(C54="WR",1,IF(C54="TE",0.8,IF(C54="RB",0.5,0)))</f>
        <v/>
      </c>
      <c r="Q54" s="94">
        <f>IF('League Settings'!$B$19="Redraft",1,IF(OR(C54="DEF",C54="K",D54=0),1,IF(D54&lt;=24,'Dynamic Adjustments'!$B$28,IF(D54&lt;=27,'Dynamic Adjustments'!$B$29,IF(D54&lt;=30,'Dynamic Adjustments'!$B$30,'Dynamic Adjustments'!$B$31)))))</f>
        <v/>
      </c>
      <c r="R54" s="94" t="n">
        <v>1</v>
      </c>
    </row>
    <row r="55">
      <c r="A55" s="67" t="n">
        <v>52</v>
      </c>
      <c r="B55" s="68">
        <f>'Base Player Values'!B55</f>
        <v/>
      </c>
      <c r="C55" s="67">
        <f>'Base Player Values'!C55</f>
        <v/>
      </c>
      <c r="D55" s="67">
        <f>'Base Player Values'!E55</f>
        <v/>
      </c>
      <c r="E55" s="69">
        <f>'Base Player Values'!F55</f>
        <v/>
      </c>
      <c r="F55" s="70">
        <f>IFERROR(VLOOKUP(C55,'Dynamic Adjustments'!$A$18:$B$23,2,FALSE),1)</f>
        <v/>
      </c>
      <c r="G55" s="70">
        <f>IF(OR(C55="DEF",C55="K",D55=0),1,IF(D55&lt;=24,'Dynamic Adjustments'!$B$28,IF(D55&lt;=27,'Dynamic Adjustments'!$B$29,IF(D55&lt;=30,'Dynamic Adjustments'!$B$30,'Dynamic Adjustments'!$B$31))))</f>
        <v/>
      </c>
      <c r="H55" s="71" t="n">
        <v>1</v>
      </c>
      <c r="I55" s="71" t="n">
        <v>1</v>
      </c>
      <c r="J55" s="71" t="n">
        <v>1</v>
      </c>
      <c r="K55" s="71" t="n">
        <v>1</v>
      </c>
      <c r="L55" s="72">
        <f>E55*('Dynamic Adjustments'!$B$5*F55+'Dynamic Adjustments'!$B$6*Q55+'Dynamic Adjustments'!$B$7*H55+'Dynamic Adjustments'!$B$8*I55+'Dynamic Adjustments'!$B$9*J55+'Dynamic Adjustments'!$B$10*K55)</f>
        <v/>
      </c>
      <c r="M55" s="73">
        <f>P55*'League Settings'!$B$7</f>
        <v/>
      </c>
      <c r="N55" s="74">
        <f>(L55+M55)*R55</f>
        <v/>
      </c>
      <c r="O55" s="75">
        <f>IF(N55&gt;=85,"Elite",IF(N55&gt;=70,"Star",IF(N55&gt;=55,"Starter",IF(N55&gt;=40,"Flex",IF(N55&gt;=25,"Bench","Waiver")))))</f>
        <v/>
      </c>
      <c r="P55" s="76">
        <f>IF(C55="WR",1,IF(C55="TE",0.8,IF(C55="RB",0.5,0)))</f>
        <v/>
      </c>
      <c r="Q55" s="94">
        <f>IF('League Settings'!$B$19="Redraft",1,IF(OR(C55="DEF",C55="K",D55=0),1,IF(D55&lt;=24,'Dynamic Adjustments'!$B$28,IF(D55&lt;=27,'Dynamic Adjustments'!$B$29,IF(D55&lt;=30,'Dynamic Adjustments'!$B$30,'Dynamic Adjustments'!$B$31)))))</f>
        <v/>
      </c>
      <c r="R55" s="94" t="n">
        <v>1</v>
      </c>
    </row>
    <row r="56">
      <c r="A56" s="67" t="n">
        <v>53</v>
      </c>
      <c r="B56" s="68">
        <f>'Base Player Values'!B56</f>
        <v/>
      </c>
      <c r="C56" s="67">
        <f>'Base Player Values'!C56</f>
        <v/>
      </c>
      <c r="D56" s="67">
        <f>'Base Player Values'!E56</f>
        <v/>
      </c>
      <c r="E56" s="69">
        <f>'Base Player Values'!F56</f>
        <v/>
      </c>
      <c r="F56" s="70">
        <f>IFERROR(VLOOKUP(C56,'Dynamic Adjustments'!$A$18:$B$23,2,FALSE),1)</f>
        <v/>
      </c>
      <c r="G56" s="70">
        <f>IF(OR(C56="DEF",C56="K",D56=0),1,IF(D56&lt;=24,'Dynamic Adjustments'!$B$28,IF(D56&lt;=27,'Dynamic Adjustments'!$B$29,IF(D56&lt;=30,'Dynamic Adjustments'!$B$30,'Dynamic Adjustments'!$B$31))))</f>
        <v/>
      </c>
      <c r="H56" s="71" t="n">
        <v>1</v>
      </c>
      <c r="I56" s="71" t="n">
        <v>1</v>
      </c>
      <c r="J56" s="71" t="n">
        <v>1</v>
      </c>
      <c r="K56" s="71" t="n">
        <v>1</v>
      </c>
      <c r="L56" s="72">
        <f>E56*('Dynamic Adjustments'!$B$5*F56+'Dynamic Adjustments'!$B$6*Q56+'Dynamic Adjustments'!$B$7*H56+'Dynamic Adjustments'!$B$8*I56+'Dynamic Adjustments'!$B$9*J56+'Dynamic Adjustments'!$B$10*K56)</f>
        <v/>
      </c>
      <c r="M56" s="73">
        <f>P56*'League Settings'!$B$7</f>
        <v/>
      </c>
      <c r="N56" s="74">
        <f>(L56+M56)*R56</f>
        <v/>
      </c>
      <c r="O56" s="75">
        <f>IF(N56&gt;=85,"Elite",IF(N56&gt;=70,"Star",IF(N56&gt;=55,"Starter",IF(N56&gt;=40,"Flex",IF(N56&gt;=25,"Bench","Waiver")))))</f>
        <v/>
      </c>
      <c r="P56" s="76">
        <f>IF(C56="WR",1,IF(C56="TE",0.8,IF(C56="RB",0.5,0)))</f>
        <v/>
      </c>
      <c r="Q56" s="94">
        <f>IF('League Settings'!$B$19="Redraft",1,IF(OR(C56="DEF",C56="K",D56=0),1,IF(D56&lt;=24,'Dynamic Adjustments'!$B$28,IF(D56&lt;=27,'Dynamic Adjustments'!$B$29,IF(D56&lt;=30,'Dynamic Adjustments'!$B$30,'Dynamic Adjustments'!$B$31)))))</f>
        <v/>
      </c>
      <c r="R56" s="94" t="n">
        <v>1</v>
      </c>
    </row>
    <row r="57">
      <c r="A57" s="67" t="n">
        <v>54</v>
      </c>
      <c r="B57" s="68">
        <f>'Base Player Values'!B57</f>
        <v/>
      </c>
      <c r="C57" s="67">
        <f>'Base Player Values'!C57</f>
        <v/>
      </c>
      <c r="D57" s="67">
        <f>'Base Player Values'!E57</f>
        <v/>
      </c>
      <c r="E57" s="69">
        <f>'Base Player Values'!F57</f>
        <v/>
      </c>
      <c r="F57" s="70">
        <f>IFERROR(VLOOKUP(C57,'Dynamic Adjustments'!$A$18:$B$23,2,FALSE),1)</f>
        <v/>
      </c>
      <c r="G57" s="70">
        <f>IF(OR(C57="DEF",C57="K",D57=0),1,IF(D57&lt;=24,'Dynamic Adjustments'!$B$28,IF(D57&lt;=27,'Dynamic Adjustments'!$B$29,IF(D57&lt;=30,'Dynamic Adjustments'!$B$30,'Dynamic Adjustments'!$B$31))))</f>
        <v/>
      </c>
      <c r="H57" s="71" t="n">
        <v>1</v>
      </c>
      <c r="I57" s="71" t="n">
        <v>1</v>
      </c>
      <c r="J57" s="71" t="n">
        <v>1</v>
      </c>
      <c r="K57" s="71" t="n">
        <v>1</v>
      </c>
      <c r="L57" s="72">
        <f>E57*('Dynamic Adjustments'!$B$5*F57+'Dynamic Adjustments'!$B$6*Q57+'Dynamic Adjustments'!$B$7*H57+'Dynamic Adjustments'!$B$8*I57+'Dynamic Adjustments'!$B$9*J57+'Dynamic Adjustments'!$B$10*K57)</f>
        <v/>
      </c>
      <c r="M57" s="73">
        <f>P57*'League Settings'!$B$7</f>
        <v/>
      </c>
      <c r="N57" s="74">
        <f>(L57+M57)*R57</f>
        <v/>
      </c>
      <c r="O57" s="75">
        <f>IF(N57&gt;=85,"Elite",IF(N57&gt;=70,"Star",IF(N57&gt;=55,"Starter",IF(N57&gt;=40,"Flex",IF(N57&gt;=25,"Bench","Waiver")))))</f>
        <v/>
      </c>
      <c r="P57" s="76">
        <f>IF(C57="WR",1,IF(C57="TE",0.8,IF(C57="RB",0.5,0)))</f>
        <v/>
      </c>
      <c r="Q57" s="94">
        <f>IF('League Settings'!$B$19="Redraft",1,IF(OR(C57="DEF",C57="K",D57=0),1,IF(D57&lt;=24,'Dynamic Adjustments'!$B$28,IF(D57&lt;=27,'Dynamic Adjustments'!$B$29,IF(D57&lt;=30,'Dynamic Adjustments'!$B$30,'Dynamic Adjustments'!$B$31)))))</f>
        <v/>
      </c>
      <c r="R57" s="94" t="n">
        <v>1</v>
      </c>
    </row>
    <row r="58">
      <c r="A58" s="67" t="n">
        <v>55</v>
      </c>
      <c r="B58" s="68">
        <f>'Base Player Values'!B58</f>
        <v/>
      </c>
      <c r="C58" s="67">
        <f>'Base Player Values'!C58</f>
        <v/>
      </c>
      <c r="D58" s="67">
        <f>'Base Player Values'!E58</f>
        <v/>
      </c>
      <c r="E58" s="69">
        <f>'Base Player Values'!F58</f>
        <v/>
      </c>
      <c r="F58" s="70">
        <f>IFERROR(VLOOKUP(C58,'Dynamic Adjustments'!$A$18:$B$23,2,FALSE),1)</f>
        <v/>
      </c>
      <c r="G58" s="70">
        <f>IF(OR(C58="DEF",C58="K",D58=0),1,IF(D58&lt;=24,'Dynamic Adjustments'!$B$28,IF(D58&lt;=27,'Dynamic Adjustments'!$B$29,IF(D58&lt;=30,'Dynamic Adjustments'!$B$30,'Dynamic Adjustments'!$B$31))))</f>
        <v/>
      </c>
      <c r="H58" s="71" t="n">
        <v>1</v>
      </c>
      <c r="I58" s="71" t="n">
        <v>1</v>
      </c>
      <c r="J58" s="71" t="n">
        <v>1</v>
      </c>
      <c r="K58" s="71" t="n">
        <v>1</v>
      </c>
      <c r="L58" s="72">
        <f>E58*('Dynamic Adjustments'!$B$5*F58+'Dynamic Adjustments'!$B$6*Q58+'Dynamic Adjustments'!$B$7*H58+'Dynamic Adjustments'!$B$8*I58+'Dynamic Adjustments'!$B$9*J58+'Dynamic Adjustments'!$B$10*K58)</f>
        <v/>
      </c>
      <c r="M58" s="73">
        <f>P58*'League Settings'!$B$7</f>
        <v/>
      </c>
      <c r="N58" s="74">
        <f>(L58+M58)*R58</f>
        <v/>
      </c>
      <c r="O58" s="75">
        <f>IF(N58&gt;=85,"Elite",IF(N58&gt;=70,"Star",IF(N58&gt;=55,"Starter",IF(N58&gt;=40,"Flex",IF(N58&gt;=25,"Bench","Waiver")))))</f>
        <v/>
      </c>
      <c r="P58" s="76">
        <f>IF(C58="WR",1,IF(C58="TE",0.8,IF(C58="RB",0.5,0)))</f>
        <v/>
      </c>
      <c r="Q58" s="94">
        <f>IF('League Settings'!$B$19="Redraft",1,IF(OR(C58="DEF",C58="K",D58=0),1,IF(D58&lt;=24,'Dynamic Adjustments'!$B$28,IF(D58&lt;=27,'Dynamic Adjustments'!$B$29,IF(D58&lt;=30,'Dynamic Adjustments'!$B$30,'Dynamic Adjustments'!$B$31)))))</f>
        <v/>
      </c>
      <c r="R58" s="94" t="n">
        <v>1</v>
      </c>
    </row>
    <row r="59">
      <c r="A59" s="67" t="n">
        <v>56</v>
      </c>
      <c r="B59" s="68">
        <f>'Base Player Values'!B59</f>
        <v/>
      </c>
      <c r="C59" s="67">
        <f>'Base Player Values'!C59</f>
        <v/>
      </c>
      <c r="D59" s="67">
        <f>'Base Player Values'!E59</f>
        <v/>
      </c>
      <c r="E59" s="69">
        <f>'Base Player Values'!F59</f>
        <v/>
      </c>
      <c r="F59" s="70">
        <f>IFERROR(VLOOKUP(C59,'Dynamic Adjustments'!$A$18:$B$23,2,FALSE),1)</f>
        <v/>
      </c>
      <c r="G59" s="70">
        <f>IF(OR(C59="DEF",C59="K",D59=0),1,IF(D59&lt;=24,'Dynamic Adjustments'!$B$28,IF(D59&lt;=27,'Dynamic Adjustments'!$B$29,IF(D59&lt;=30,'Dynamic Adjustments'!$B$30,'Dynamic Adjustments'!$B$31))))</f>
        <v/>
      </c>
      <c r="H59" s="71" t="n">
        <v>1</v>
      </c>
      <c r="I59" s="71" t="n">
        <v>1</v>
      </c>
      <c r="J59" s="71" t="n">
        <v>1</v>
      </c>
      <c r="K59" s="71" t="n">
        <v>1</v>
      </c>
      <c r="L59" s="72">
        <f>E59*('Dynamic Adjustments'!$B$5*F59+'Dynamic Adjustments'!$B$6*Q59+'Dynamic Adjustments'!$B$7*H59+'Dynamic Adjustments'!$B$8*I59+'Dynamic Adjustments'!$B$9*J59+'Dynamic Adjustments'!$B$10*K59)</f>
        <v/>
      </c>
      <c r="M59" s="73">
        <f>P59*'League Settings'!$B$7</f>
        <v/>
      </c>
      <c r="N59" s="74">
        <f>(L59+M59)*R59</f>
        <v/>
      </c>
      <c r="O59" s="75">
        <f>IF(N59&gt;=85,"Elite",IF(N59&gt;=70,"Star",IF(N59&gt;=55,"Starter",IF(N59&gt;=40,"Flex",IF(N59&gt;=25,"Bench","Waiver")))))</f>
        <v/>
      </c>
      <c r="P59" s="76">
        <f>IF(C59="WR",1,IF(C59="TE",0.8,IF(C59="RB",0.5,0)))</f>
        <v/>
      </c>
      <c r="Q59" s="94">
        <f>IF('League Settings'!$B$19="Redraft",1,IF(OR(C59="DEF",C59="K",D59=0),1,IF(D59&lt;=24,'Dynamic Adjustments'!$B$28,IF(D59&lt;=27,'Dynamic Adjustments'!$B$29,IF(D59&lt;=30,'Dynamic Adjustments'!$B$30,'Dynamic Adjustments'!$B$31)))))</f>
        <v/>
      </c>
      <c r="R59" s="94" t="n">
        <v>1</v>
      </c>
    </row>
    <row r="60">
      <c r="A60" s="67" t="n">
        <v>57</v>
      </c>
      <c r="B60" s="68">
        <f>'Base Player Values'!B60</f>
        <v/>
      </c>
      <c r="C60" s="67">
        <f>'Base Player Values'!C60</f>
        <v/>
      </c>
      <c r="D60" s="67">
        <f>'Base Player Values'!E60</f>
        <v/>
      </c>
      <c r="E60" s="69">
        <f>'Base Player Values'!F60</f>
        <v/>
      </c>
      <c r="F60" s="70">
        <f>IFERROR(VLOOKUP(C60,'Dynamic Adjustments'!$A$18:$B$23,2,FALSE),1)</f>
        <v/>
      </c>
      <c r="G60" s="70">
        <f>IF(OR(C60="DEF",C60="K",D60=0),1,IF(D60&lt;=24,'Dynamic Adjustments'!$B$28,IF(D60&lt;=27,'Dynamic Adjustments'!$B$29,IF(D60&lt;=30,'Dynamic Adjustments'!$B$30,'Dynamic Adjustments'!$B$31))))</f>
        <v/>
      </c>
      <c r="H60" s="71" t="n">
        <v>1</v>
      </c>
      <c r="I60" s="71" t="n">
        <v>1</v>
      </c>
      <c r="J60" s="71" t="n">
        <v>1</v>
      </c>
      <c r="K60" s="71" t="n">
        <v>1</v>
      </c>
      <c r="L60" s="72">
        <f>E60*('Dynamic Adjustments'!$B$5*F60+'Dynamic Adjustments'!$B$6*Q60+'Dynamic Adjustments'!$B$7*H60+'Dynamic Adjustments'!$B$8*I60+'Dynamic Adjustments'!$B$9*J60+'Dynamic Adjustments'!$B$10*K60)</f>
        <v/>
      </c>
      <c r="M60" s="73">
        <f>P60*'League Settings'!$B$7</f>
        <v/>
      </c>
      <c r="N60" s="74">
        <f>(L60+M60)*R60</f>
        <v/>
      </c>
      <c r="O60" s="75">
        <f>IF(N60&gt;=85,"Elite",IF(N60&gt;=70,"Star",IF(N60&gt;=55,"Starter",IF(N60&gt;=40,"Flex",IF(N60&gt;=25,"Bench","Waiver")))))</f>
        <v/>
      </c>
      <c r="P60" s="76">
        <f>IF(C60="WR",1,IF(C60="TE",0.8,IF(C60="RB",0.5,0)))</f>
        <v/>
      </c>
      <c r="Q60" s="94">
        <f>IF('League Settings'!$B$19="Redraft",1,IF(OR(C60="DEF",C60="K",D60=0),1,IF(D60&lt;=24,'Dynamic Adjustments'!$B$28,IF(D60&lt;=27,'Dynamic Adjustments'!$B$29,IF(D60&lt;=30,'Dynamic Adjustments'!$B$30,'Dynamic Adjustments'!$B$31)))))</f>
        <v/>
      </c>
      <c r="R60" s="94" t="n">
        <v>1</v>
      </c>
    </row>
    <row r="61">
      <c r="A61" s="67" t="n">
        <v>58</v>
      </c>
      <c r="B61" s="68">
        <f>'Base Player Values'!B61</f>
        <v/>
      </c>
      <c r="C61" s="67">
        <f>'Base Player Values'!C61</f>
        <v/>
      </c>
      <c r="D61" s="67">
        <f>'Base Player Values'!E61</f>
        <v/>
      </c>
      <c r="E61" s="69">
        <f>'Base Player Values'!F61</f>
        <v/>
      </c>
      <c r="F61" s="70">
        <f>IFERROR(VLOOKUP(C61,'Dynamic Adjustments'!$A$18:$B$23,2,FALSE),1)</f>
        <v/>
      </c>
      <c r="G61" s="70">
        <f>IF(OR(C61="DEF",C61="K",D61=0),1,IF(D61&lt;=24,'Dynamic Adjustments'!$B$28,IF(D61&lt;=27,'Dynamic Adjustments'!$B$29,IF(D61&lt;=30,'Dynamic Adjustments'!$B$30,'Dynamic Adjustments'!$B$31))))</f>
        <v/>
      </c>
      <c r="H61" s="71" t="n">
        <v>1</v>
      </c>
      <c r="I61" s="71" t="n">
        <v>1</v>
      </c>
      <c r="J61" s="71" t="n">
        <v>1</v>
      </c>
      <c r="K61" s="71" t="n">
        <v>1</v>
      </c>
      <c r="L61" s="72">
        <f>E61*('Dynamic Adjustments'!$B$5*F61+'Dynamic Adjustments'!$B$6*Q61+'Dynamic Adjustments'!$B$7*H61+'Dynamic Adjustments'!$B$8*I61+'Dynamic Adjustments'!$B$9*J61+'Dynamic Adjustments'!$B$10*K61)</f>
        <v/>
      </c>
      <c r="M61" s="73">
        <f>P61*'League Settings'!$B$7</f>
        <v/>
      </c>
      <c r="N61" s="74">
        <f>(L61+M61)*R61</f>
        <v/>
      </c>
      <c r="O61" s="75">
        <f>IF(N61&gt;=85,"Elite",IF(N61&gt;=70,"Star",IF(N61&gt;=55,"Starter",IF(N61&gt;=40,"Flex",IF(N61&gt;=25,"Bench","Waiver")))))</f>
        <v/>
      </c>
      <c r="P61" s="76">
        <f>IF(C61="WR",1,IF(C61="TE",0.8,IF(C61="RB",0.5,0)))</f>
        <v/>
      </c>
      <c r="Q61" s="94">
        <f>IF('League Settings'!$B$19="Redraft",1,IF(OR(C61="DEF",C61="K",D61=0),1,IF(D61&lt;=24,'Dynamic Adjustments'!$B$28,IF(D61&lt;=27,'Dynamic Adjustments'!$B$29,IF(D61&lt;=30,'Dynamic Adjustments'!$B$30,'Dynamic Adjustments'!$B$31)))))</f>
        <v/>
      </c>
      <c r="R61" s="94" t="n">
        <v>1</v>
      </c>
    </row>
    <row r="62">
      <c r="A62" s="67" t="n">
        <v>59</v>
      </c>
      <c r="B62" s="68">
        <f>'Base Player Values'!B62</f>
        <v/>
      </c>
      <c r="C62" s="67">
        <f>'Base Player Values'!C62</f>
        <v/>
      </c>
      <c r="D62" s="67">
        <f>'Base Player Values'!E62</f>
        <v/>
      </c>
      <c r="E62" s="69">
        <f>'Base Player Values'!F62</f>
        <v/>
      </c>
      <c r="F62" s="70">
        <f>IFERROR(VLOOKUP(C62,'Dynamic Adjustments'!$A$18:$B$23,2,FALSE),1)</f>
        <v/>
      </c>
      <c r="G62" s="70">
        <f>IF(OR(C62="DEF",C62="K",D62=0),1,IF(D62&lt;=24,'Dynamic Adjustments'!$B$28,IF(D62&lt;=27,'Dynamic Adjustments'!$B$29,IF(D62&lt;=30,'Dynamic Adjustments'!$B$30,'Dynamic Adjustments'!$B$31))))</f>
        <v/>
      </c>
      <c r="H62" s="71" t="n">
        <v>1</v>
      </c>
      <c r="I62" s="71" t="n">
        <v>1</v>
      </c>
      <c r="J62" s="71" t="n">
        <v>1</v>
      </c>
      <c r="K62" s="71" t="n">
        <v>1</v>
      </c>
      <c r="L62" s="72">
        <f>E62*('Dynamic Adjustments'!$B$5*F62+'Dynamic Adjustments'!$B$6*Q62+'Dynamic Adjustments'!$B$7*H62+'Dynamic Adjustments'!$B$8*I62+'Dynamic Adjustments'!$B$9*J62+'Dynamic Adjustments'!$B$10*K62)</f>
        <v/>
      </c>
      <c r="M62" s="73">
        <f>P62*'League Settings'!$B$7</f>
        <v/>
      </c>
      <c r="N62" s="74">
        <f>(L62+M62)*R62</f>
        <v/>
      </c>
      <c r="O62" s="75">
        <f>IF(N62&gt;=85,"Elite",IF(N62&gt;=70,"Star",IF(N62&gt;=55,"Starter",IF(N62&gt;=40,"Flex",IF(N62&gt;=25,"Bench","Waiver")))))</f>
        <v/>
      </c>
      <c r="P62" s="76">
        <f>IF(C62="WR",1,IF(C62="TE",0.8,IF(C62="RB",0.5,0)))</f>
        <v/>
      </c>
      <c r="Q62" s="94">
        <f>IF('League Settings'!$B$19="Redraft",1,IF(OR(C62="DEF",C62="K",D62=0),1,IF(D62&lt;=24,'Dynamic Adjustments'!$B$28,IF(D62&lt;=27,'Dynamic Adjustments'!$B$29,IF(D62&lt;=30,'Dynamic Adjustments'!$B$30,'Dynamic Adjustments'!$B$31)))))</f>
        <v/>
      </c>
      <c r="R62" s="94" t="n">
        <v>1</v>
      </c>
    </row>
    <row r="63">
      <c r="A63" s="67" t="n">
        <v>60</v>
      </c>
      <c r="B63" s="68">
        <f>'Base Player Values'!B63</f>
        <v/>
      </c>
      <c r="C63" s="67">
        <f>'Base Player Values'!C63</f>
        <v/>
      </c>
      <c r="D63" s="67">
        <f>'Base Player Values'!E63</f>
        <v/>
      </c>
      <c r="E63" s="69">
        <f>'Base Player Values'!F63</f>
        <v/>
      </c>
      <c r="F63" s="70">
        <f>IFERROR(VLOOKUP(C63,'Dynamic Adjustments'!$A$18:$B$23,2,FALSE),1)</f>
        <v/>
      </c>
      <c r="G63" s="70">
        <f>IF(OR(C63="DEF",C63="K",D63=0),1,IF(D63&lt;=24,'Dynamic Adjustments'!$B$28,IF(D63&lt;=27,'Dynamic Adjustments'!$B$29,IF(D63&lt;=30,'Dynamic Adjustments'!$B$30,'Dynamic Adjustments'!$B$31))))</f>
        <v/>
      </c>
      <c r="H63" s="71" t="n">
        <v>1</v>
      </c>
      <c r="I63" s="71" t="n">
        <v>1</v>
      </c>
      <c r="J63" s="71" t="n">
        <v>1</v>
      </c>
      <c r="K63" s="71" t="n">
        <v>1</v>
      </c>
      <c r="L63" s="72">
        <f>E63*('Dynamic Adjustments'!$B$5*F63+'Dynamic Adjustments'!$B$6*Q63+'Dynamic Adjustments'!$B$7*H63+'Dynamic Adjustments'!$B$8*I63+'Dynamic Adjustments'!$B$9*J63+'Dynamic Adjustments'!$B$10*K63)</f>
        <v/>
      </c>
      <c r="M63" s="73">
        <f>P63*'League Settings'!$B$7</f>
        <v/>
      </c>
      <c r="N63" s="74">
        <f>(L63+M63)*R63</f>
        <v/>
      </c>
      <c r="O63" s="75">
        <f>IF(N63&gt;=85,"Elite",IF(N63&gt;=70,"Star",IF(N63&gt;=55,"Starter",IF(N63&gt;=40,"Flex",IF(N63&gt;=25,"Bench","Waiver")))))</f>
        <v/>
      </c>
      <c r="P63" s="76">
        <f>IF(C63="WR",1,IF(C63="TE",0.8,IF(C63="RB",0.5,0)))</f>
        <v/>
      </c>
      <c r="Q63" s="94">
        <f>IF('League Settings'!$B$19="Redraft",1,IF(OR(C63="DEF",C63="K",D63=0),1,IF(D63&lt;=24,'Dynamic Adjustments'!$B$28,IF(D63&lt;=27,'Dynamic Adjustments'!$B$29,IF(D63&lt;=30,'Dynamic Adjustments'!$B$30,'Dynamic Adjustments'!$B$31)))))</f>
        <v/>
      </c>
      <c r="R63" s="94" t="n">
        <v>1</v>
      </c>
    </row>
    <row r="64">
      <c r="A64" s="67" t="n"/>
      <c r="B64" s="68" t="n"/>
      <c r="C64" s="67" t="n"/>
      <c r="D64" s="67" t="n"/>
      <c r="E64" s="69" t="n"/>
      <c r="F64" s="70" t="n"/>
      <c r="G64" s="70" t="n"/>
      <c r="H64" s="71" t="n"/>
      <c r="I64" s="71" t="n"/>
      <c r="J64" s="71" t="n"/>
      <c r="K64" s="71" t="n"/>
      <c r="L64" s="72" t="n"/>
      <c r="M64" s="73" t="n"/>
      <c r="N64" s="74" t="n"/>
      <c r="O64" s="75" t="n"/>
      <c r="P64" s="76" t="n"/>
    </row>
  </sheetData>
  <mergeCells count="2">
    <mergeCell ref="A2:R2"/>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6" customWidth="1" min="1" max="1"/>
    <col width="24" customWidth="1" min="2" max="2"/>
    <col width="12" customWidth="1" min="3" max="3"/>
    <col width="14" customWidth="1" min="4" max="4"/>
    <col width="12" customWidth="1" min="5" max="5"/>
    <col width="4" customWidth="1" min="6" max="6"/>
    <col width="4" customWidth="1" min="7" max="7"/>
    <col width="6" customWidth="1" min="8" max="8"/>
    <col width="24" customWidth="1" min="9" max="9"/>
    <col width="12" customWidth="1" min="10" max="10"/>
    <col width="14" customWidth="1" min="11" max="11"/>
    <col width="12" customWidth="1" min="12" max="12"/>
  </cols>
  <sheetData>
    <row r="1" ht="40" customHeight="1">
      <c r="A1" s="30" t="inlineStr">
        <is>
          <t>Trade Calculator</t>
        </is>
      </c>
    </row>
    <row r="2" ht="25" customHeight="1">
      <c r="A2" s="45" t="inlineStr">
        <is>
          <t>Evaluate Trades Up to 5 vs 5 Players — Automatic Trade Scores &amp; Verdicts</t>
        </is>
      </c>
    </row>
    <row r="3"/>
    <row r="4" ht="30" customHeight="1">
      <c r="A4" s="77" t="inlineStr">
        <is>
          <t>TEAM A GIVES</t>
        </is>
      </c>
      <c r="H4" s="77" t="inlineStr">
        <is>
          <t>TEAM B GIVES</t>
        </is>
      </c>
    </row>
    <row r="5">
      <c r="A5" s="78" t="inlineStr">
        <is>
          <t>#</t>
        </is>
      </c>
      <c r="B5" s="78" t="inlineStr">
        <is>
          <t>Player Name</t>
        </is>
      </c>
      <c r="C5" s="78" t="inlineStr">
        <is>
          <t>Position</t>
        </is>
      </c>
      <c r="D5" s="78" t="inlineStr">
        <is>
          <t>Final Adj DTV</t>
        </is>
      </c>
      <c r="E5" s="78" t="inlineStr">
        <is>
          <t>DTV Tier</t>
        </is>
      </c>
      <c r="H5" s="78" t="inlineStr">
        <is>
          <t>#</t>
        </is>
      </c>
      <c r="I5" s="78" t="inlineStr">
        <is>
          <t>Player Name</t>
        </is>
      </c>
      <c r="J5" s="78" t="inlineStr">
        <is>
          <t>Position</t>
        </is>
      </c>
      <c r="K5" s="78" t="inlineStr">
        <is>
          <t>Final Adj DTV</t>
        </is>
      </c>
      <c r="L5" s="78" t="inlineStr">
        <is>
          <t>DTV Tier</t>
        </is>
      </c>
    </row>
    <row r="6">
      <c r="A6" s="79" t="n">
        <v>1</v>
      </c>
      <c r="B6" s="80" t="inlineStr"/>
      <c r="C6" s="81">
        <f>IF(B6="","",IFERROR(INDEX('Dynamic Trade Chart'!C$4:C$64,MATCH(B6,'Dynamic Trade Chart'!B$4:B$64,0)),"Not Found"))</f>
        <v/>
      </c>
      <c r="D6" s="82">
        <f>IF(B6="",0,IFERROR(INDEX('Dynamic Trade Chart'!N$4:N$64,MATCH(B6,'Dynamic Trade Chart'!B$4:B$64,0)),0))</f>
        <v/>
      </c>
      <c r="E6" s="81">
        <f>IF(B6="","",IFERROR(INDEX('Dynamic Trade Chart'!O$4:O$64,MATCH(B6,'Dynamic Trade Chart'!B$4:B$64,0)),""))</f>
        <v/>
      </c>
      <c r="H6" s="79" t="n">
        <v>1</v>
      </c>
      <c r="I6" s="80" t="inlineStr"/>
      <c r="J6" s="81">
        <f>IF(I6="","",IFERROR(INDEX('Dynamic Trade Chart'!C$4:C$64,MATCH(I6,'Dynamic Trade Chart'!B$4:B$64,0)),"Not Found"))</f>
        <v/>
      </c>
      <c r="K6" s="82">
        <f>IF(I6="",0,IFERROR(INDEX('Dynamic Trade Chart'!N$4:N$64,MATCH(I6,'Dynamic Trade Chart'!B$4:B$64,0)),0))</f>
        <v/>
      </c>
      <c r="L6" s="81">
        <f>IF(I6="","",IFERROR(INDEX('Dynamic Trade Chart'!O$4:O$64,MATCH(I6,'Dynamic Trade Chart'!B$4:B$64,0)),""))</f>
        <v/>
      </c>
    </row>
    <row r="7">
      <c r="A7" s="79" t="n">
        <v>2</v>
      </c>
      <c r="B7" s="80" t="inlineStr"/>
      <c r="C7" s="81">
        <f>IF(B7="","",IFERROR(INDEX('Dynamic Trade Chart'!C$4:C$64,MATCH(B7,'Dynamic Trade Chart'!B$4:B$64,0)),"Not Found"))</f>
        <v/>
      </c>
      <c r="D7" s="82">
        <f>IF(B7="",0,IFERROR(INDEX('Dynamic Trade Chart'!N$4:N$64,MATCH(B7,'Dynamic Trade Chart'!B$4:B$64,0)),0))</f>
        <v/>
      </c>
      <c r="E7" s="81">
        <f>IF(B7="","",IFERROR(INDEX('Dynamic Trade Chart'!O$4:O$64,MATCH(B7,'Dynamic Trade Chart'!B$4:B$64,0)),""))</f>
        <v/>
      </c>
      <c r="H7" s="79" t="n">
        <v>2</v>
      </c>
      <c r="I7" s="80" t="inlineStr"/>
      <c r="J7" s="81">
        <f>IF(I7="","",IFERROR(INDEX('Dynamic Trade Chart'!C$4:C$64,MATCH(I7,'Dynamic Trade Chart'!B$4:B$64,0)),"Not Found"))</f>
        <v/>
      </c>
      <c r="K7" s="82">
        <f>IF(I7="",0,IFERROR(INDEX('Dynamic Trade Chart'!N$4:N$64,MATCH(I7,'Dynamic Trade Chart'!B$4:B$64,0)),0))</f>
        <v/>
      </c>
      <c r="L7" s="81">
        <f>IF(I7="","",IFERROR(INDEX('Dynamic Trade Chart'!O$4:O$64,MATCH(I7,'Dynamic Trade Chart'!B$4:B$64,0)),""))</f>
        <v/>
      </c>
    </row>
    <row r="8">
      <c r="A8" s="79" t="n">
        <v>3</v>
      </c>
      <c r="B8" s="80" t="inlineStr"/>
      <c r="C8" s="81">
        <f>IF(B8="","",IFERROR(INDEX('Dynamic Trade Chart'!C$4:C$64,MATCH(B8,'Dynamic Trade Chart'!B$4:B$64,0)),"Not Found"))</f>
        <v/>
      </c>
      <c r="D8" s="82">
        <f>IF(B8="",0,IFERROR(INDEX('Dynamic Trade Chart'!N$4:N$64,MATCH(B8,'Dynamic Trade Chart'!B$4:B$64,0)),0))</f>
        <v/>
      </c>
      <c r="E8" s="81">
        <f>IF(B8="","",IFERROR(INDEX('Dynamic Trade Chart'!O$4:O$64,MATCH(B8,'Dynamic Trade Chart'!B$4:B$64,0)),""))</f>
        <v/>
      </c>
      <c r="H8" s="79" t="n">
        <v>3</v>
      </c>
      <c r="I8" s="80" t="inlineStr"/>
      <c r="J8" s="81">
        <f>IF(I8="","",IFERROR(INDEX('Dynamic Trade Chart'!C$4:C$64,MATCH(I8,'Dynamic Trade Chart'!B$4:B$64,0)),"Not Found"))</f>
        <v/>
      </c>
      <c r="K8" s="82">
        <f>IF(I8="",0,IFERROR(INDEX('Dynamic Trade Chart'!N$4:N$64,MATCH(I8,'Dynamic Trade Chart'!B$4:B$64,0)),0))</f>
        <v/>
      </c>
      <c r="L8" s="81">
        <f>IF(I8="","",IFERROR(INDEX('Dynamic Trade Chart'!O$4:O$64,MATCH(I8,'Dynamic Trade Chart'!B$4:B$64,0)),""))</f>
        <v/>
      </c>
    </row>
    <row r="9">
      <c r="A9" s="79" t="n">
        <v>4</v>
      </c>
      <c r="B9" s="80" t="inlineStr"/>
      <c r="C9" s="81">
        <f>IF(B9="","",IFERROR(INDEX('Dynamic Trade Chart'!C$4:C$64,MATCH(B9,'Dynamic Trade Chart'!B$4:B$64,0)),"Not Found"))</f>
        <v/>
      </c>
      <c r="D9" s="82">
        <f>IF(B9="",0,IFERROR(INDEX('Dynamic Trade Chart'!N$4:N$64,MATCH(B9,'Dynamic Trade Chart'!B$4:B$64,0)),0))</f>
        <v/>
      </c>
      <c r="E9" s="81">
        <f>IF(B9="","",IFERROR(INDEX('Dynamic Trade Chart'!O$4:O$64,MATCH(B9,'Dynamic Trade Chart'!B$4:B$64,0)),""))</f>
        <v/>
      </c>
      <c r="H9" s="79" t="n">
        <v>4</v>
      </c>
      <c r="I9" s="80" t="inlineStr"/>
      <c r="J9" s="81">
        <f>IF(I9="","",IFERROR(INDEX('Dynamic Trade Chart'!C$4:C$64,MATCH(I9,'Dynamic Trade Chart'!B$4:B$64,0)),"Not Found"))</f>
        <v/>
      </c>
      <c r="K9" s="82">
        <f>IF(I9="",0,IFERROR(INDEX('Dynamic Trade Chart'!N$4:N$64,MATCH(I9,'Dynamic Trade Chart'!B$4:B$64,0)),0))</f>
        <v/>
      </c>
      <c r="L9" s="81">
        <f>IF(I9="","",IFERROR(INDEX('Dynamic Trade Chart'!O$4:O$64,MATCH(I9,'Dynamic Trade Chart'!B$4:B$64,0)),""))</f>
        <v/>
      </c>
    </row>
    <row r="10">
      <c r="A10" s="79" t="n">
        <v>5</v>
      </c>
      <c r="B10" s="80" t="inlineStr"/>
      <c r="C10" s="81">
        <f>IF(B10="","",IFERROR(INDEX('Dynamic Trade Chart'!C$4:C$64,MATCH(B10,'Dynamic Trade Chart'!B$4:B$64,0)),"Not Found"))</f>
        <v/>
      </c>
      <c r="D10" s="82">
        <f>IF(B10="",0,IFERROR(INDEX('Dynamic Trade Chart'!N$4:N$64,MATCH(B10,'Dynamic Trade Chart'!B$4:B$64,0)),0))</f>
        <v/>
      </c>
      <c r="E10" s="81">
        <f>IF(B10="","",IFERROR(INDEX('Dynamic Trade Chart'!O$4:O$64,MATCH(B10,'Dynamic Trade Chart'!B$4:B$64,0)),""))</f>
        <v/>
      </c>
      <c r="H10" s="79" t="n">
        <v>5</v>
      </c>
      <c r="I10" s="80" t="inlineStr"/>
      <c r="J10" s="81">
        <f>IF(I10="","",IFERROR(INDEX('Dynamic Trade Chart'!C$4:C$64,MATCH(I10,'Dynamic Trade Chart'!B$4:B$64,0)),"Not Found"))</f>
        <v/>
      </c>
      <c r="K10" s="82">
        <f>IF(I10="",0,IFERROR(INDEX('Dynamic Trade Chart'!N$4:N$64,MATCH(I10,'Dynamic Trade Chart'!B$4:B$64,0)),0))</f>
        <v/>
      </c>
      <c r="L10" s="81">
        <f>IF(I10="","",IFERROR(INDEX('Dynamic Trade Chart'!O$4:O$64,MATCH(I10,'Dynamic Trade Chart'!B$4:B$64,0)),""))</f>
        <v/>
      </c>
    </row>
    <row r="11"/>
    <row r="12">
      <c r="A12" s="83" t="inlineStr">
        <is>
          <t>Team A Total DTV</t>
        </is>
      </c>
      <c r="C12" s="84">
        <f>IF(COUNTA(B6:B10)=0,0,SUM(D6:D10))</f>
        <v/>
      </c>
      <c r="H12" s="83" t="inlineStr">
        <is>
          <t>Team B Total DTV</t>
        </is>
      </c>
      <c r="J12" s="84">
        <f>IF(COUNTA(I6:I10)=0,0,SUM(K6:K10))</f>
        <v/>
      </c>
    </row>
    <row r="13"/>
    <row r="14"/>
    <row r="15" ht="35" customHeight="1">
      <c r="A15" s="85" t="inlineStr">
        <is>
          <t>TRADE ANALYSIS</t>
        </is>
      </c>
    </row>
    <row r="16"/>
    <row r="17" ht="30" customHeight="1">
      <c r="A17" s="86" t="inlineStr">
        <is>
          <t>Trade Differential</t>
        </is>
      </c>
      <c r="D17" s="87">
        <f>C12-J12</f>
        <v/>
      </c>
    </row>
    <row r="18"/>
    <row r="19" ht="40" customHeight="1">
      <c r="A19" s="86" t="inlineStr">
        <is>
          <t>Trade Score</t>
        </is>
      </c>
      <c r="D19" s="93">
        <f>IF(AND(C12=0,J12=0),"—",MIN(100,MAX(0,50+D17*1.67)))</f>
        <v/>
      </c>
    </row>
    <row r="20"/>
    <row r="21" ht="32" customHeight="1">
      <c r="A21" s="86" t="inlineStr">
        <is>
          <t>Verdict</t>
        </is>
      </c>
      <c r="D21" s="89">
        <f>IF(AND(C12=0,J12=0),"Enter players above to evaluate a trade",IF(D19&gt;=90,"Slam Dunk",IF(D19&gt;=75,"Strong Win",IF(D19&gt;=60,"Slight Edge",IF(D19&gt;=45,"Fair Trade",IF(D19&gt;=30,"Slight Loss",IF(D19&gt;=15,"Bad Deal","Robbery")))))))</f>
        <v/>
      </c>
    </row>
    <row r="22"/>
    <row r="23">
      <c r="A23" s="90" t="inlineStr">
        <is>
          <t>TRADE SCORE:  0-100 Scale  |  90-100 Slam Dunk  |  75-89 Strong Win  |  60-74 Slight Edge  |  45-59 Fair Trade  |  30-44 Slight Loss  |  15-29 Bad Deal  |  0-14 Robbery</t>
        </is>
      </c>
    </row>
  </sheetData>
  <mergeCells count="14">
    <mergeCell ref="D21:L21"/>
    <mergeCell ref="A2:L2"/>
    <mergeCell ref="H12:I12"/>
    <mergeCell ref="A4:E4"/>
    <mergeCell ref="A15:L15"/>
    <mergeCell ref="A19:C19"/>
    <mergeCell ref="D19:E19"/>
    <mergeCell ref="A1:L1"/>
    <mergeCell ref="A23:L23"/>
    <mergeCell ref="A17:C17"/>
    <mergeCell ref="A21:C21"/>
    <mergeCell ref="D17:E17"/>
    <mergeCell ref="H4:L4"/>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2026-04-10T16:19:08Z</dcterms:created>
  <dcterms:modified xmlns:dcterms="http://purl.org/dc/terms/" xmlns:xsi="http://www.w3.org/2001/XMLSchema-instance" xsi:type="dcterms:W3CDTF">2026-04-10T18:29:44Z</dcterms:modified>
</cp:coreProperties>
</file>